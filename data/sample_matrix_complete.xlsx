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DroughtSIP/data/"/>
    </mc:Choice>
  </mc:AlternateContent>
  <xr:revisionPtr revIDLastSave="0" documentId="13_ncr:1_{9FC9D7AA-A5CA-4A4B-A431-560D3778E62D}" xr6:coauthVersionLast="47" xr6:coauthVersionMax="47" xr10:uidLastSave="{00000000-0000-0000-0000-000000000000}"/>
  <bookViews>
    <workbookView xWindow="0" yWindow="760" windowWidth="30240" windowHeight="18880" activeTab="5" xr2:uid="{00000000-000D-0000-FFFF-FFFF00000000}"/>
  </bookViews>
  <sheets>
    <sheet name="MAIN" sheetId="1" r:id="rId1"/>
    <sheet name="LiCOR metadata" sheetId="6" r:id="rId2"/>
    <sheet name="submitted to igor" sheetId="5" r:id="rId3"/>
    <sheet name="SIP-Incubation-Masses-and-LiCOR" sheetId="2" r:id="rId4"/>
    <sheet name="Trace Gas Metadata" sheetId="3" r:id="rId5"/>
    <sheet name="Gravimetric Water Content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M3" i="4"/>
  <c r="M6" i="4"/>
  <c r="M7" i="4"/>
  <c r="M8" i="4"/>
  <c r="M9" i="4"/>
  <c r="M10" i="4"/>
  <c r="M5" i="4"/>
  <c r="J4" i="4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4" i="1"/>
  <c r="L3" i="4"/>
  <c r="L4" i="4"/>
  <c r="L5" i="4"/>
  <c r="L6" i="4"/>
  <c r="L7" i="4"/>
  <c r="L8" i="4"/>
  <c r="L9" i="4"/>
  <c r="L10" i="4"/>
  <c r="L2" i="4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" i="1"/>
  <c r="K3" i="4"/>
  <c r="K4" i="4"/>
  <c r="K9" i="4"/>
  <c r="K2" i="4"/>
  <c r="G3" i="4"/>
  <c r="G4" i="4"/>
  <c r="G5" i="4"/>
  <c r="G6" i="4"/>
  <c r="G7" i="4"/>
  <c r="G8" i="4"/>
  <c r="G9" i="4"/>
  <c r="G10" i="4"/>
  <c r="G2" i="4"/>
  <c r="I3" i="4"/>
  <c r="I4" i="4"/>
  <c r="I5" i="4"/>
  <c r="K5" i="4" s="1"/>
  <c r="I6" i="4"/>
  <c r="J6" i="4" s="1"/>
  <c r="I7" i="4"/>
  <c r="J7" i="4" s="1"/>
  <c r="I8" i="4"/>
  <c r="K8" i="4" s="1"/>
  <c r="I9" i="4"/>
  <c r="I10" i="4"/>
  <c r="K10" i="4" s="1"/>
  <c r="I2" i="4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9" i="1"/>
  <c r="Q8" i="1"/>
  <c r="Q7" i="1"/>
  <c r="F33" i="1"/>
  <c r="K33" i="1" s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4" i="1"/>
  <c r="F55" i="1"/>
  <c r="K55" i="1" s="1"/>
  <c r="F54" i="1"/>
  <c r="K54" i="1" s="1"/>
  <c r="F53" i="1"/>
  <c r="K53" i="1" s="1"/>
  <c r="F52" i="1"/>
  <c r="K52" i="1" s="1"/>
  <c r="F51" i="1"/>
  <c r="K51" i="1" s="1"/>
  <c r="F50" i="1"/>
  <c r="K50" i="1" s="1"/>
  <c r="F49" i="1"/>
  <c r="K49" i="1" s="1"/>
  <c r="F48" i="1"/>
  <c r="K48" i="1" s="1"/>
  <c r="F47" i="1"/>
  <c r="K47" i="1" s="1"/>
  <c r="F46" i="1"/>
  <c r="K46" i="1" s="1"/>
  <c r="F45" i="1"/>
  <c r="K45" i="1" s="1"/>
  <c r="F44" i="1"/>
  <c r="K44" i="1" s="1"/>
  <c r="F43" i="1"/>
  <c r="F42" i="1"/>
  <c r="K42" i="1" s="1"/>
  <c r="F41" i="1"/>
  <c r="K41" i="1" s="1"/>
  <c r="F40" i="1"/>
  <c r="K40" i="1" s="1"/>
  <c r="F39" i="1"/>
  <c r="K39" i="1" s="1"/>
  <c r="F38" i="1"/>
  <c r="K38" i="1" s="1"/>
  <c r="F37" i="1"/>
  <c r="K37" i="1" s="1"/>
  <c r="F36" i="1"/>
  <c r="K36" i="1" s="1"/>
  <c r="F35" i="1"/>
  <c r="K35" i="1" s="1"/>
  <c r="F34" i="1"/>
  <c r="K34" i="1" s="1"/>
  <c r="F32" i="1"/>
  <c r="K32" i="1" s="1"/>
  <c r="F31" i="1"/>
  <c r="K31" i="1" s="1"/>
  <c r="F30" i="1"/>
  <c r="F24" i="1"/>
  <c r="K24" i="1" s="1"/>
  <c r="F18" i="1"/>
  <c r="K18" i="1" s="1"/>
  <c r="F11" i="1"/>
  <c r="K11" i="1" s="1"/>
  <c r="F5" i="1"/>
  <c r="K5" i="1" s="1"/>
  <c r="AV27" i="1"/>
  <c r="AV26" i="1"/>
  <c r="AV25" i="1"/>
  <c r="AV24" i="1"/>
  <c r="AV23" i="1"/>
  <c r="AV22" i="1"/>
  <c r="AV21" i="1"/>
  <c r="AV20" i="1"/>
  <c r="AV19" i="1"/>
  <c r="AV18" i="1"/>
  <c r="AV17" i="1"/>
  <c r="AV16" i="1"/>
  <c r="AV207" i="1"/>
  <c r="AV206" i="1"/>
  <c r="AV205" i="1"/>
  <c r="AV204" i="1"/>
  <c r="AV203" i="1"/>
  <c r="AV202" i="1"/>
  <c r="AV201" i="1"/>
  <c r="AV200" i="1"/>
  <c r="AV199" i="1"/>
  <c r="AV198" i="1"/>
  <c r="AV197" i="1"/>
  <c r="AV196" i="1"/>
  <c r="AV195" i="1"/>
  <c r="AV194" i="1"/>
  <c r="AV193" i="1"/>
  <c r="AV192" i="1"/>
  <c r="AV191" i="1"/>
  <c r="AV190" i="1"/>
  <c r="AV189" i="1"/>
  <c r="AV188" i="1"/>
  <c r="AV187" i="1"/>
  <c r="AV186" i="1"/>
  <c r="AV185" i="1"/>
  <c r="AV184" i="1"/>
  <c r="AV183" i="1"/>
  <c r="AV182" i="1"/>
  <c r="AV181" i="1"/>
  <c r="AV180" i="1"/>
  <c r="AV179" i="1"/>
  <c r="AV178" i="1"/>
  <c r="AV177" i="1"/>
  <c r="AV176" i="1"/>
  <c r="AV175" i="1"/>
  <c r="AV174" i="1"/>
  <c r="AV173" i="1"/>
  <c r="AV172" i="1"/>
  <c r="AV171" i="1"/>
  <c r="AV170" i="1"/>
  <c r="AV169" i="1"/>
  <c r="AV168" i="1"/>
  <c r="AV167" i="1"/>
  <c r="AV166" i="1"/>
  <c r="AV165" i="1"/>
  <c r="AV164" i="1"/>
  <c r="AV163" i="1"/>
  <c r="AV162" i="1"/>
  <c r="AV161" i="1"/>
  <c r="AV160" i="1"/>
  <c r="AV159" i="1"/>
  <c r="AV158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121" i="1"/>
  <c r="AV120" i="1"/>
  <c r="AV119" i="1"/>
  <c r="AV118" i="1"/>
  <c r="AV117" i="1"/>
  <c r="AV116" i="1"/>
  <c r="AV115" i="1"/>
  <c r="AV114" i="1"/>
  <c r="AV113" i="1"/>
  <c r="AV112" i="1"/>
  <c r="AV111" i="1"/>
  <c r="AV110" i="1"/>
  <c r="AV109" i="1"/>
  <c r="AV108" i="1"/>
  <c r="AV107" i="1"/>
  <c r="AV106" i="1"/>
  <c r="AV105" i="1"/>
  <c r="AV104" i="1"/>
  <c r="AV103" i="1"/>
  <c r="AV102" i="1"/>
  <c r="AV101" i="1"/>
  <c r="AV100" i="1"/>
  <c r="AV99" i="1"/>
  <c r="AV98" i="1"/>
  <c r="AV97" i="1"/>
  <c r="AV96" i="1"/>
  <c r="AV95" i="1"/>
  <c r="AV94" i="1"/>
  <c r="AV93" i="1"/>
  <c r="AV92" i="1"/>
  <c r="AV91" i="1"/>
  <c r="AV90" i="1"/>
  <c r="AV89" i="1"/>
  <c r="AV88" i="1"/>
  <c r="AV87" i="1"/>
  <c r="AV86" i="1"/>
  <c r="AV85" i="1"/>
  <c r="AV84" i="1"/>
  <c r="AV83" i="1"/>
  <c r="AV82" i="1"/>
  <c r="AV81" i="1"/>
  <c r="AV80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65" i="1"/>
  <c r="AV64" i="1"/>
  <c r="AV63" i="1"/>
  <c r="AV62" i="1"/>
  <c r="AV61" i="1"/>
  <c r="AV60" i="1"/>
  <c r="AV59" i="1"/>
  <c r="AV58" i="1"/>
  <c r="AV57" i="1"/>
  <c r="AV56" i="1"/>
  <c r="AV55" i="1"/>
  <c r="AV54" i="1"/>
  <c r="AV53" i="1"/>
  <c r="AV52" i="1"/>
  <c r="AV51" i="1"/>
  <c r="AV50" i="1"/>
  <c r="AV49" i="1"/>
  <c r="AV48" i="1"/>
  <c r="AV47" i="1"/>
  <c r="AV46" i="1"/>
  <c r="AV45" i="1"/>
  <c r="AV44" i="1"/>
  <c r="AV43" i="1"/>
  <c r="AV42" i="1"/>
  <c r="AV41" i="1"/>
  <c r="AV40" i="1"/>
  <c r="AV39" i="1"/>
  <c r="AV38" i="1"/>
  <c r="AV37" i="1"/>
  <c r="AV36" i="1"/>
  <c r="AV35" i="1"/>
  <c r="AV34" i="1"/>
  <c r="Q5" i="1"/>
  <c r="Q6" i="1"/>
  <c r="Q13" i="1"/>
  <c r="Q14" i="1"/>
  <c r="Q15" i="1"/>
  <c r="Q10" i="1"/>
  <c r="Q11" i="1"/>
  <c r="Q12" i="1"/>
  <c r="Q16" i="1"/>
  <c r="Q17" i="1"/>
  <c r="Q18" i="1"/>
  <c r="Q4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5" i="1"/>
  <c r="BA14" i="1"/>
  <c r="BA13" i="1"/>
  <c r="BA12" i="1"/>
  <c r="BA5" i="1"/>
  <c r="BA6" i="1"/>
  <c r="BA7" i="1"/>
  <c r="BA8" i="1"/>
  <c r="BA9" i="1"/>
  <c r="BA10" i="1"/>
  <c r="BA11" i="1"/>
  <c r="BA4" i="1"/>
  <c r="AV33" i="1"/>
  <c r="AV32" i="1"/>
  <c r="AV31" i="1"/>
  <c r="AV30" i="1"/>
  <c r="AV29" i="1"/>
  <c r="AV28" i="1"/>
  <c r="AV15" i="1"/>
  <c r="AV14" i="1"/>
  <c r="AV13" i="1"/>
  <c r="AV12" i="1"/>
  <c r="AV11" i="1"/>
  <c r="AV10" i="1"/>
  <c r="AV5" i="1"/>
  <c r="AV6" i="1"/>
  <c r="AV7" i="1"/>
  <c r="AV8" i="1"/>
  <c r="AV9" i="1"/>
  <c r="AV4" i="1"/>
  <c r="F6" i="1"/>
  <c r="K6" i="1" s="1"/>
  <c r="F7" i="1"/>
  <c r="K7" i="1" s="1"/>
  <c r="F8" i="1"/>
  <c r="K8" i="1" s="1"/>
  <c r="F9" i="1"/>
  <c r="K9" i="1" s="1"/>
  <c r="F10" i="1"/>
  <c r="K10" i="1" s="1"/>
  <c r="F12" i="1"/>
  <c r="K12" i="1" s="1"/>
  <c r="F13" i="1"/>
  <c r="K13" i="1" s="1"/>
  <c r="F14" i="1"/>
  <c r="K14" i="1" s="1"/>
  <c r="F15" i="1"/>
  <c r="K15" i="1" s="1"/>
  <c r="F16" i="1"/>
  <c r="K16" i="1" s="1"/>
  <c r="F17" i="1"/>
  <c r="F19" i="1"/>
  <c r="K19" i="1" s="1"/>
  <c r="F20" i="1"/>
  <c r="K20" i="1" s="1"/>
  <c r="F21" i="1"/>
  <c r="K21" i="1" s="1"/>
  <c r="F22" i="1"/>
  <c r="K22" i="1" s="1"/>
  <c r="F23" i="1"/>
  <c r="K23" i="1" s="1"/>
  <c r="F25" i="1"/>
  <c r="K25" i="1" s="1"/>
  <c r="F26" i="1"/>
  <c r="K26" i="1" s="1"/>
  <c r="F27" i="1"/>
  <c r="K27" i="1" s="1"/>
  <c r="F28" i="1"/>
  <c r="K28" i="1" s="1"/>
  <c r="F29" i="1"/>
  <c r="K29" i="1" s="1"/>
  <c r="F4" i="1"/>
  <c r="J8" i="4" l="1"/>
  <c r="K7" i="4"/>
  <c r="K6" i="4"/>
  <c r="J9" i="4"/>
  <c r="J10" i="4"/>
  <c r="J5" i="4"/>
  <c r="J3" i="4"/>
  <c r="J2" i="4"/>
</calcChain>
</file>

<file path=xl/sharedStrings.xml><?xml version="1.0" encoding="utf-8"?>
<sst xmlns="http://schemas.openxmlformats.org/spreadsheetml/2006/main" count="2509" uniqueCount="291">
  <si>
    <t>site</t>
  </si>
  <si>
    <t>drought</t>
  </si>
  <si>
    <t>JCR</t>
  </si>
  <si>
    <t>ROS</t>
  </si>
  <si>
    <t>WET</t>
  </si>
  <si>
    <t>SKY</t>
  </si>
  <si>
    <t>LOM</t>
  </si>
  <si>
    <t>PAL</t>
  </si>
  <si>
    <t>Lipid Analyses</t>
  </si>
  <si>
    <t>Metagenomics</t>
  </si>
  <si>
    <t>Metabolomics</t>
  </si>
  <si>
    <t>replicate</t>
  </si>
  <si>
    <t>dt_hr</t>
  </si>
  <si>
    <t>n</t>
  </si>
  <si>
    <t>CO2/CH4 flux</t>
  </si>
  <si>
    <t>15 mL withdrawn using gas-tight syringe, injected into 12mL glass exetainer</t>
  </si>
  <si>
    <t>timepoint</t>
  </si>
  <si>
    <t>PRE</t>
  </si>
  <si>
    <t>Trace Gas Samples</t>
  </si>
  <si>
    <t>sample_id</t>
  </si>
  <si>
    <t>SIP-TYPE</t>
  </si>
  <si>
    <t>VAPOR</t>
  </si>
  <si>
    <t>dt</t>
  </si>
  <si>
    <t>pre</t>
  </si>
  <si>
    <t>1h</t>
  </si>
  <si>
    <t>6h</t>
  </si>
  <si>
    <t>24h</t>
  </si>
  <si>
    <t>48h</t>
  </si>
  <si>
    <t>Using LiCOR - these aren't physical samples but should be notated in the software with sample_id</t>
  </si>
  <si>
    <t>BLANK</t>
  </si>
  <si>
    <t>A</t>
  </si>
  <si>
    <t>B</t>
  </si>
  <si>
    <t>24hr</t>
  </si>
  <si>
    <t>fluid sampled from incubation, 0.2µm filtered, frozen for storage in 15 mL falcon tube</t>
  </si>
  <si>
    <t>NA</t>
  </si>
  <si>
    <t>rep</t>
  </si>
  <si>
    <t>0hr</t>
  </si>
  <si>
    <t>72hr</t>
  </si>
  <si>
    <t>DNA-SIP</t>
  </si>
  <si>
    <t xml:space="preserve">300 mg of homogenized, sieved soil added to a 2 mL falcon tube, mixed with 300 µL of 20% 18OH2, incubated for 72hrs. Timepoint zero are not mixed with 18O water and are instead frozen at -80˚C. </t>
  </si>
  <si>
    <t>2H Water Isotopes</t>
  </si>
  <si>
    <t>18O water isotopes</t>
  </si>
  <si>
    <t>AMBIENT</t>
  </si>
  <si>
    <t>0.5hr</t>
  </si>
  <si>
    <t>LS-JCR-ROS-WET-0hr</t>
  </si>
  <si>
    <t>LS-JCR-ROS-WET-1hr</t>
  </si>
  <si>
    <t>LS-JCR-ROS-WET-3hr</t>
  </si>
  <si>
    <t>LS-JCR-ROS-WET-6hr</t>
  </si>
  <si>
    <t>LS-JCR-ROS-WET-24hr</t>
  </si>
  <si>
    <t>LS-JCR-ROS-WET-48hr</t>
  </si>
  <si>
    <t>LS-JCR-ROS-WET-72hr</t>
  </si>
  <si>
    <t>LS-JCR-SKY-WET-0hr</t>
  </si>
  <si>
    <t>LS-JCR-SKY-WET-1hr</t>
  </si>
  <si>
    <t>LS-JCR-SKY-WET-3hr</t>
  </si>
  <si>
    <t>LS-JCR-SKY-WET-6hr</t>
  </si>
  <si>
    <t>LS-JCR-SKY-WET-24hr</t>
  </si>
  <si>
    <t>LS-JCR-SKY-WET-48hr</t>
  </si>
  <si>
    <t>LS-JCR-SKY-WET-72hr</t>
  </si>
  <si>
    <t>mass (g)</t>
  </si>
  <si>
    <t>LS-LOM-ROS-WET-0hr</t>
  </si>
  <si>
    <t>LS-LOM-ROS-WET-1hr</t>
  </si>
  <si>
    <t>LS-LOM-ROS-WET-3hr</t>
  </si>
  <si>
    <t>LS-LOM-ROS-WET-6hr</t>
  </si>
  <si>
    <t>LS-LOM-ROS-WET-24hr</t>
  </si>
  <si>
    <t>LS-LOM-ROS-WET-48hr</t>
  </si>
  <si>
    <t>LS-LOM-ROS-WET-72hr</t>
  </si>
  <si>
    <t>LS-LOM-SKY-WET-0hr</t>
  </si>
  <si>
    <t>LS-LOM-SKY-WET-1hr</t>
  </si>
  <si>
    <t>LS-LOM-SKY-WET-3hr</t>
  </si>
  <si>
    <t>LS-LOM-SKY-WET-6hr</t>
  </si>
  <si>
    <t>LS-LOM-SKY-WET-24hr</t>
  </si>
  <si>
    <t>LS-LOM-SKY-WET-48hr</t>
  </si>
  <si>
    <t>LS-LOM-SKY-WET-72hr</t>
  </si>
  <si>
    <t>LS-JCR-ROS-VAPOR-24hr</t>
  </si>
  <si>
    <t>LS-JCR-ROS-VAPOR-48hr</t>
  </si>
  <si>
    <t>LS-JCR-ROS-VAPOR-72hr</t>
  </si>
  <si>
    <t>LS-JCR-SKY-VAPOR-24hr</t>
  </si>
  <si>
    <t>LS-JCR-SKY-VAPOR-48hr</t>
  </si>
  <si>
    <t>LS-JCR-SKY-VAPOR-72hr</t>
  </si>
  <si>
    <t>LS-LOM-ROS-VAPOR-24hr</t>
  </si>
  <si>
    <t>LS-LOM-ROS-VAPOR-48hr</t>
  </si>
  <si>
    <t>LS-LOM-ROS-VAPOR-72hr</t>
  </si>
  <si>
    <t>LS-LOM-SKY-VAPOR-24hr</t>
  </si>
  <si>
    <t>LS-LOM-SKY-VAPOR-48hr</t>
  </si>
  <si>
    <t>LS-LOM-SKY-VAPOR-72hr</t>
  </si>
  <si>
    <t>CUE-JCR-ROS-0hr-1</t>
  </si>
  <si>
    <t>CUE-JCR-ROS-0hr-2</t>
  </si>
  <si>
    <t>CUE-JCR-ROS-0hr-3</t>
  </si>
  <si>
    <t>CUE-JCR-ROS-24hr-1</t>
  </si>
  <si>
    <t>CUE-JCR-ROS-24hr-2</t>
  </si>
  <si>
    <t>CUE-JCR-ROS-24hr-3</t>
  </si>
  <si>
    <t>CUE-JCR-ROS-72hr-1</t>
  </si>
  <si>
    <t>CUE-JCR-ROS-72hr-2</t>
  </si>
  <si>
    <t>CUE-JCR-ROS-72hr-3</t>
  </si>
  <si>
    <t>CUE-JCR-SKY-0hr-1</t>
  </si>
  <si>
    <t>CUE-JCR-SKY-0hr-2</t>
  </si>
  <si>
    <t>CUE-JCR-SKY-0hr-3</t>
  </si>
  <si>
    <t>CUE-JCR-SKY-24hr-1</t>
  </si>
  <si>
    <t>CUE-JCR-SKY-24hr-2</t>
  </si>
  <si>
    <t>CUE-JCR-SKY-24hr-3</t>
  </si>
  <si>
    <t>CUE-JCR-SKY-72hr-1</t>
  </si>
  <si>
    <t>CUE-JCR-SKY-72hr-2</t>
  </si>
  <si>
    <t>CUE-JCR-SKY-72hr-3</t>
  </si>
  <si>
    <t>CUE-LOM-ROS-0hr-1</t>
  </si>
  <si>
    <t>CUE-LOM-ROS-0hr-2</t>
  </si>
  <si>
    <t>CUE-LOM-ROS-0hr-3</t>
  </si>
  <si>
    <t>CUE-LOM-ROS-24hr-1</t>
  </si>
  <si>
    <t>CUE-LOM-ROS-24hr-2</t>
  </si>
  <si>
    <t>CUE-LOM-ROS-24hr-3</t>
  </si>
  <si>
    <t>CUE-LOM-ROS-72hr-1</t>
  </si>
  <si>
    <t>CUE-LOM-ROS-72hr-2</t>
  </si>
  <si>
    <t>CUE-LOM-ROS-72hr-3</t>
  </si>
  <si>
    <t>CUE-LOM-SKY-0hr-1</t>
  </si>
  <si>
    <t>CUE-LOM-SKY-0hr-2</t>
  </si>
  <si>
    <t>CUE-LOM-SKY-0hr-3</t>
  </si>
  <si>
    <t>CUE-LOM-SKY-24hr-1</t>
  </si>
  <si>
    <t>CUE-LOM-SKY-24hr-2</t>
  </si>
  <si>
    <t>CUE-LOM-SKY-24hr-3</t>
  </si>
  <si>
    <t>CUE-LOM-SKY-72hr-1</t>
  </si>
  <si>
    <t>CUE-LOM-SKY-72hr-2</t>
  </si>
  <si>
    <t>CUE-LOM-SKY-72hr-3</t>
  </si>
  <si>
    <t>experiment</t>
  </si>
  <si>
    <t>lipid-SIP</t>
  </si>
  <si>
    <t>vapor-SIP</t>
  </si>
  <si>
    <t>PRE_LICOR_time_start</t>
  </si>
  <si>
    <t>PRE_LICOR_time_end</t>
  </si>
  <si>
    <t>POST_LICOR_time_start</t>
  </si>
  <si>
    <t>POST_LICOR_time_end</t>
  </si>
  <si>
    <t>PRE_LICOR_vol_ml</t>
  </si>
  <si>
    <t>POST_LICOR_vol_ml</t>
  </si>
  <si>
    <t>comment</t>
  </si>
  <si>
    <t>SIP_start</t>
  </si>
  <si>
    <t>SIP_end</t>
  </si>
  <si>
    <t>0-10cm soil, homogenized, 6 g soil (dry weight) placed in 50 mL falcon tube, amended with 6 mL H2O. Flash frozen at timepoint. If "pre" sampled before water. If "post", sampled 72hr after rain. Biological replicates.</t>
  </si>
  <si>
    <t>time_start</t>
  </si>
  <si>
    <t>time_end</t>
  </si>
  <si>
    <t>LS-JCR-SKY-VAPOR-24hr-H2O</t>
  </si>
  <si>
    <t>LS-JCR-SKY-VAPOR-48hr-H2O</t>
  </si>
  <si>
    <t>LS-JCR-SKY-VAPOR-72hr-H2O</t>
  </si>
  <si>
    <t>LS-JCR-ROS-VAPOR-24hr-H2O</t>
  </si>
  <si>
    <t>LS-JCR-ROS-VAPOR-48hr-H2O</t>
  </si>
  <si>
    <t>LS-JCR-ROS-VAPOR-72hr-H2O</t>
  </si>
  <si>
    <t>LS-LOM-ROS-VAPOR-24hr-H2O</t>
  </si>
  <si>
    <t>LS-LOM-ROS-VAPOR-48hr-H2O</t>
  </si>
  <si>
    <t>LS-LOM-ROS-VAPOR-72hr-H2O</t>
  </si>
  <si>
    <t>LS-LOM-SKY-VAPOR-24hr-H2O</t>
  </si>
  <si>
    <t>LS-LOM-SKY-VAPOR-48hr-H2O</t>
  </si>
  <si>
    <t>LS-LOM-SKY-VAPOR-72hr-H2O</t>
  </si>
  <si>
    <t>possible syringe malfunction during injection. Check data</t>
  </si>
  <si>
    <t>12 mL withdrawn using gas-tight syringe, injected into evacuated [modified] 12mL glass exetainer</t>
  </si>
  <si>
    <t>dt_min</t>
  </si>
  <si>
    <t>Key:
site: JCR = "Jalama Canyon Ranch", LOM = "Loma Ridge"
drought: ROS = "Rain-out-shelter", SKY = control
timepoint = time after rewetting event in hours
dt_min = minutes after PVC flux chamber was put onto soil
sample_id = concatenated unique id</t>
  </si>
  <si>
    <t>JCR-ROS-PRE</t>
  </si>
  <si>
    <t>JCR-SKY-PRE</t>
  </si>
  <si>
    <t>JCR-ROS-POST</t>
  </si>
  <si>
    <t>JCR-SKY-POST</t>
  </si>
  <si>
    <t>LOM-SKY-PRE</t>
  </si>
  <si>
    <t>LOM-ROS-PRE</t>
  </si>
  <si>
    <t>LOM-ROS-POST</t>
  </si>
  <si>
    <t>LOM-SKY-POST</t>
  </si>
  <si>
    <t>pre_or_post_rewetting</t>
  </si>
  <si>
    <t>POST</t>
  </si>
  <si>
    <t>condition</t>
  </si>
  <si>
    <t>dry_soil_w_tin_g</t>
  </si>
  <si>
    <t>moist_soil_tared_g</t>
  </si>
  <si>
    <t>dry_soil_adj_g</t>
  </si>
  <si>
    <t>EXAMPLE</t>
  </si>
  <si>
    <t>mass_h2O_g</t>
  </si>
  <si>
    <t>GMC (%)</t>
  </si>
  <si>
    <t>possible loss of pressure in exetainer</t>
  </si>
  <si>
    <t>note possible syringe malfunction</t>
  </si>
  <si>
    <t>vial_weight</t>
  </si>
  <si>
    <t>moist_soil_w_tin</t>
  </si>
  <si>
    <t>BLANK 1</t>
  </si>
  <si>
    <t>BLANK 2</t>
  </si>
  <si>
    <t>mass_H2O_per_6g</t>
  </si>
  <si>
    <t>date_extracted</t>
  </si>
  <si>
    <t>DNA_extracted</t>
  </si>
  <si>
    <t>short_id</t>
  </si>
  <si>
    <t>JRP1</t>
  </si>
  <si>
    <t>JRP2</t>
  </si>
  <si>
    <t>JRP3</t>
  </si>
  <si>
    <t>JSP1</t>
  </si>
  <si>
    <t>JSP2</t>
  </si>
  <si>
    <t>JSP3</t>
  </si>
  <si>
    <t>JR71</t>
  </si>
  <si>
    <t>JR72</t>
  </si>
  <si>
    <t>JR73</t>
  </si>
  <si>
    <t>JS71</t>
  </si>
  <si>
    <t>JS72</t>
  </si>
  <si>
    <t>JS73</t>
  </si>
  <si>
    <t>LRP1</t>
  </si>
  <si>
    <t>LRP2</t>
  </si>
  <si>
    <t>LRP3</t>
  </si>
  <si>
    <t>LSP1</t>
  </si>
  <si>
    <t>LSP3</t>
  </si>
  <si>
    <t>LSP2</t>
  </si>
  <si>
    <t>LR71</t>
  </si>
  <si>
    <t>LR72</t>
  </si>
  <si>
    <t>LR73</t>
  </si>
  <si>
    <t>LS71</t>
  </si>
  <si>
    <t>LS72</t>
  </si>
  <si>
    <t>LS73</t>
  </si>
  <si>
    <t>B1</t>
  </si>
  <si>
    <t>B2</t>
  </si>
  <si>
    <t>BDL</t>
  </si>
  <si>
    <t>DNA_qubit (ng/µL)</t>
  </si>
  <si>
    <t>JRP1_1</t>
  </si>
  <si>
    <t>JRP2_2</t>
  </si>
  <si>
    <t>JRP3_3</t>
  </si>
  <si>
    <t>JSP1_4</t>
  </si>
  <si>
    <t>serial</t>
  </si>
  <si>
    <t>JSP2_5</t>
  </si>
  <si>
    <t>JSP3_6</t>
  </si>
  <si>
    <t>JR71_7</t>
  </si>
  <si>
    <t>JR72_8</t>
  </si>
  <si>
    <t>JR73_9</t>
  </si>
  <si>
    <t>JS71_10</t>
  </si>
  <si>
    <t>JS72_11</t>
  </si>
  <si>
    <t>JS73_12</t>
  </si>
  <si>
    <t>LRP1_13</t>
  </si>
  <si>
    <t>LRP2_14</t>
  </si>
  <si>
    <t>LRP3_15</t>
  </si>
  <si>
    <t>LSP1_16</t>
  </si>
  <si>
    <t>LSP2_17</t>
  </si>
  <si>
    <t>LSP3_18</t>
  </si>
  <si>
    <t>LR71_19</t>
  </si>
  <si>
    <t>LR72_20</t>
  </si>
  <si>
    <t>LR73_21</t>
  </si>
  <si>
    <t>LS71_22</t>
  </si>
  <si>
    <t>LS72_23</t>
  </si>
  <si>
    <t>LS73_24</t>
  </si>
  <si>
    <t>B1_25</t>
  </si>
  <si>
    <t>B2_26</t>
  </si>
  <si>
    <t>JRW0</t>
  </si>
  <si>
    <t>JRW1</t>
  </si>
  <si>
    <t>JSW0</t>
  </si>
  <si>
    <t>JSW1</t>
  </si>
  <si>
    <t>LRW0</t>
  </si>
  <si>
    <t>LSW0</t>
  </si>
  <si>
    <t>LRW1</t>
  </si>
  <si>
    <t>LSW1</t>
  </si>
  <si>
    <t>JRW3</t>
  </si>
  <si>
    <t>JSW3</t>
  </si>
  <si>
    <t>LRW3</t>
  </si>
  <si>
    <t>LSW3</t>
  </si>
  <si>
    <t>JRW6</t>
  </si>
  <si>
    <t>JSW6</t>
  </si>
  <si>
    <t>LRW6</t>
  </si>
  <si>
    <t>LSW6</t>
  </si>
  <si>
    <t>JRW24</t>
  </si>
  <si>
    <t>JSW24</t>
  </si>
  <si>
    <t>LRW24</t>
  </si>
  <si>
    <t>LSW24</t>
  </si>
  <si>
    <t>LSW48</t>
  </si>
  <si>
    <t>JRW48</t>
  </si>
  <si>
    <t>JSW48</t>
  </si>
  <si>
    <t>LRW48</t>
  </si>
  <si>
    <t>Si_SPE</t>
  </si>
  <si>
    <t>JRW72</t>
  </si>
  <si>
    <t>JSW72</t>
  </si>
  <si>
    <t>LRW72</t>
  </si>
  <si>
    <t>LSW72</t>
  </si>
  <si>
    <t>BLANK1</t>
  </si>
  <si>
    <t>BLANK2</t>
  </si>
  <si>
    <t>mL of water to add to get 1-to-1 dilution of tracer</t>
  </si>
  <si>
    <t>0-10cm soil, homogenized, 5g per tube. If wet, add 0.5% D2O, if dry, see vapor-SIP incubation. If dry, add 10% D2O at appropriate volume (see GWC tab). Note that vapor 0hr time points don't exist because they are redundant with wet-SIP 0hr time points!</t>
  </si>
  <si>
    <t>JSV1</t>
  </si>
  <si>
    <t>JRV1</t>
  </si>
  <si>
    <t>JRV3</t>
  </si>
  <si>
    <t>JRV6</t>
  </si>
  <si>
    <t>JRV24</t>
  </si>
  <si>
    <t>JRV48</t>
  </si>
  <si>
    <t>JRV72</t>
  </si>
  <si>
    <t>JSV3</t>
  </si>
  <si>
    <t>JSV6</t>
  </si>
  <si>
    <t>JSV24</t>
  </si>
  <si>
    <t>JSV48</t>
  </si>
  <si>
    <t>JSV72</t>
  </si>
  <si>
    <t>LRV1</t>
  </si>
  <si>
    <t>LRV3</t>
  </si>
  <si>
    <t>LRV6</t>
  </si>
  <si>
    <t>LRV24</t>
  </si>
  <si>
    <t>LRV48</t>
  </si>
  <si>
    <t>LRV72</t>
  </si>
  <si>
    <t>LSV1</t>
  </si>
  <si>
    <t>LSV3</t>
  </si>
  <si>
    <t>LSV6</t>
  </si>
  <si>
    <t>LSV24</t>
  </si>
  <si>
    <t>LSV48</t>
  </si>
  <si>
    <t>LSV72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</si>
</sst>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wrapText="1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7" borderId="8" xfId="0" applyFont="1" applyFill="1" applyBorder="1"/>
    <xf numFmtId="0" fontId="2" fillId="7" borderId="1" xfId="0" applyFont="1" applyFill="1" applyBorder="1"/>
    <xf numFmtId="0" fontId="2" fillId="7" borderId="2" xfId="0" applyFont="1" applyFill="1" applyBorder="1"/>
    <xf numFmtId="0" fontId="2" fillId="7" borderId="3" xfId="0" applyFont="1" applyFill="1" applyBorder="1"/>
    <xf numFmtId="0" fontId="2" fillId="7" borderId="4" xfId="0" applyFont="1" applyFill="1" applyBorder="1"/>
    <xf numFmtId="0" fontId="2" fillId="7" borderId="0" xfId="0" applyFont="1" applyFill="1"/>
    <xf numFmtId="0" fontId="2" fillId="7" borderId="5" xfId="0" applyFont="1" applyFill="1" applyBorder="1"/>
    <xf numFmtId="0" fontId="1" fillId="0" borderId="0" xfId="0" applyFont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9" borderId="0" xfId="0" applyFill="1"/>
    <xf numFmtId="22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22" fontId="0" fillId="3" borderId="0" xfId="0" applyNumberFormat="1" applyFill="1"/>
    <xf numFmtId="22" fontId="0" fillId="5" borderId="0" xfId="0" applyNumberFormat="1" applyFill="1"/>
    <xf numFmtId="164" fontId="1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 wrapText="1"/>
    </xf>
    <xf numFmtId="164" fontId="1" fillId="0" borderId="0" xfId="0" applyNumberFormat="1" applyFont="1" applyAlignment="1">
      <alignment horizontal="center"/>
    </xf>
    <xf numFmtId="164" fontId="0" fillId="3" borderId="0" xfId="0" applyNumberFormat="1" applyFill="1"/>
    <xf numFmtId="164" fontId="0" fillId="5" borderId="0" xfId="0" applyNumberFormat="1" applyFill="1"/>
    <xf numFmtId="164" fontId="0" fillId="10" borderId="0" xfId="0" applyNumberFormat="1" applyFill="1"/>
    <xf numFmtId="164" fontId="0" fillId="9" borderId="0" xfId="0" applyNumberFormat="1" applyFill="1"/>
    <xf numFmtId="164" fontId="0" fillId="11" borderId="0" xfId="0" applyNumberFormat="1" applyFill="1"/>
    <xf numFmtId="0" fontId="0" fillId="8" borderId="0" xfId="0" applyFill="1" applyAlignment="1">
      <alignment horizontal="center" wrapText="1"/>
    </xf>
    <xf numFmtId="0" fontId="1" fillId="8" borderId="0" xfId="0" applyFont="1" applyFill="1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22" fontId="0" fillId="6" borderId="0" xfId="0" applyNumberFormat="1" applyFill="1"/>
    <xf numFmtId="0" fontId="0" fillId="12" borderId="4" xfId="0" applyFill="1" applyBorder="1"/>
    <xf numFmtId="0" fontId="0" fillId="12" borderId="0" xfId="0" applyFill="1"/>
    <xf numFmtId="164" fontId="0" fillId="12" borderId="0" xfId="0" applyNumberFormat="1" applyFill="1"/>
    <xf numFmtId="0" fontId="0" fillId="13" borderId="0" xfId="0" applyFill="1"/>
    <xf numFmtId="0" fontId="0" fillId="14" borderId="0" xfId="0" applyFill="1"/>
    <xf numFmtId="22" fontId="0" fillId="14" borderId="0" xfId="0" applyNumberFormat="1" applyFill="1"/>
    <xf numFmtId="2" fontId="1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 wrapText="1"/>
    </xf>
    <xf numFmtId="2" fontId="1" fillId="0" borderId="0" xfId="0" applyNumberFormat="1" applyFont="1" applyAlignment="1">
      <alignment horizontal="center"/>
    </xf>
    <xf numFmtId="2" fontId="0" fillId="3" borderId="0" xfId="0" applyNumberFormat="1" applyFill="1"/>
    <xf numFmtId="2" fontId="0" fillId="5" borderId="0" xfId="0" applyNumberFormat="1" applyFill="1"/>
    <xf numFmtId="2" fontId="0" fillId="14" borderId="0" xfId="0" applyNumberFormat="1" applyFill="1"/>
    <xf numFmtId="14" fontId="0" fillId="3" borderId="0" xfId="0" applyNumberFormat="1" applyFill="1"/>
    <xf numFmtId="14" fontId="0" fillId="5" borderId="0" xfId="0" applyNumberFormat="1" applyFill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8" borderId="0" xfId="0" applyFill="1" applyAlignment="1">
      <alignment horizontal="center" wrapText="1"/>
    </xf>
    <xf numFmtId="0" fontId="1" fillId="8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</cellXfs>
  <cellStyles count="1">
    <cellStyle name="Normal" xfId="0" builtinId="0"/>
  </cellStyles>
  <dxfs count="10">
    <dxf>
      <font>
        <color rgb="FF9C0006"/>
      </font>
    </dxf>
    <dxf>
      <font>
        <color rgb="FF002060"/>
      </font>
    </dxf>
    <dxf>
      <font>
        <color rgb="FF0070C0"/>
      </font>
    </dxf>
    <dxf>
      <font>
        <color rgb="FF7030A0"/>
      </font>
    </dxf>
    <dxf>
      <font>
        <color theme="9" tint="-0.24994659260841701"/>
      </font>
    </dxf>
    <dxf>
      <font>
        <color rgb="FF9C0006"/>
      </font>
    </dxf>
    <dxf>
      <font>
        <color rgb="FF002060"/>
      </font>
    </dxf>
    <dxf>
      <font>
        <color rgb="FF0070C0"/>
      </font>
    </dxf>
    <dxf>
      <font>
        <color rgb="FF7030A0"/>
      </font>
    </dxf>
    <dxf>
      <font>
        <color theme="9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7"/>
  <sheetViews>
    <sheetView zoomScale="150" zoomScaleNormal="130" workbookViewId="0">
      <pane xSplit="1" ySplit="3" topLeftCell="B42" activePane="bottomRight" state="frozen"/>
      <selection pane="topRight" activeCell="B1" sqref="B1"/>
      <selection pane="bottomLeft" activeCell="A3" sqref="A3"/>
      <selection pane="bottomRight" activeCell="G58" sqref="G58"/>
    </sheetView>
  </sheetViews>
  <sheetFormatPr baseColWidth="10" defaultColWidth="8.83203125" defaultRowHeight="15" x14ac:dyDescent="0.2"/>
  <cols>
    <col min="1" max="1" width="6" style="39" customWidth="1"/>
    <col min="6" max="6" width="21" customWidth="1"/>
    <col min="7" max="7" width="7.5" bestFit="1" customWidth="1"/>
    <col min="8" max="8" width="13" bestFit="1" customWidth="1"/>
    <col min="9" max="9" width="13.6640625" customWidth="1"/>
    <col min="11" max="11" width="25.33203125" customWidth="1"/>
    <col min="17" max="17" width="17.5" bestFit="1" customWidth="1"/>
    <col min="18" max="20" width="17.5" customWidth="1"/>
    <col min="22" max="22" width="24.83203125" bestFit="1" customWidth="1"/>
    <col min="28" max="28" width="17.83203125" customWidth="1"/>
    <col min="29" max="30" width="9.5" customWidth="1"/>
    <col min="31" max="31" width="13.33203125" customWidth="1"/>
    <col min="32" max="32" width="14.5" customWidth="1"/>
    <col min="33" max="33" width="15.1640625" customWidth="1"/>
    <col min="34" max="34" width="17.83203125" style="69" customWidth="1"/>
    <col min="40" max="40" width="17.1640625" customWidth="1"/>
    <col min="41" max="42" width="17.1640625" style="55" customWidth="1"/>
    <col min="45" max="45" width="9" customWidth="1"/>
    <col min="48" max="48" width="14.1640625" bestFit="1" customWidth="1"/>
    <col min="49" max="49" width="12.83203125" customWidth="1"/>
    <col min="53" max="53" width="11.6640625" bestFit="1" customWidth="1"/>
  </cols>
  <sheetData>
    <row r="1" spans="1:53" x14ac:dyDescent="0.2">
      <c r="B1" s="86" t="s">
        <v>8</v>
      </c>
      <c r="C1" s="86"/>
      <c r="D1" s="86"/>
      <c r="E1" s="86"/>
      <c r="F1" s="86"/>
      <c r="G1" s="50"/>
      <c r="H1" s="50"/>
      <c r="I1" s="50"/>
      <c r="K1" s="50" t="s">
        <v>40</v>
      </c>
      <c r="L1" s="39"/>
      <c r="M1" s="89" t="s">
        <v>38</v>
      </c>
      <c r="N1" s="89"/>
      <c r="O1" s="89"/>
      <c r="P1" s="89"/>
      <c r="Q1" s="89"/>
      <c r="R1" s="67"/>
      <c r="S1" s="67"/>
      <c r="T1" s="67"/>
      <c r="V1" s="50" t="s">
        <v>41</v>
      </c>
      <c r="X1" s="86" t="s">
        <v>9</v>
      </c>
      <c r="Y1" s="86"/>
      <c r="Z1" s="86"/>
      <c r="AA1" s="86"/>
      <c r="AB1" s="86"/>
      <c r="AC1" s="50"/>
      <c r="AD1" s="50"/>
      <c r="AE1" s="50"/>
      <c r="AF1" s="50"/>
      <c r="AG1" s="50"/>
      <c r="AH1" s="77"/>
      <c r="AJ1" s="86" t="s">
        <v>10</v>
      </c>
      <c r="AK1" s="86"/>
      <c r="AL1" s="86"/>
      <c r="AM1" s="86"/>
      <c r="AN1" s="86"/>
      <c r="AO1" s="58"/>
      <c r="AP1" s="58"/>
      <c r="AR1" s="86" t="s">
        <v>18</v>
      </c>
      <c r="AS1" s="86"/>
      <c r="AT1" s="86"/>
      <c r="AU1" s="86"/>
      <c r="AV1" s="86"/>
      <c r="AW1" s="1"/>
      <c r="AX1" s="86" t="s">
        <v>14</v>
      </c>
      <c r="AY1" s="86"/>
      <c r="AZ1" s="86"/>
      <c r="BA1" s="86"/>
    </row>
    <row r="2" spans="1:53" ht="63" customHeight="1" x14ac:dyDescent="0.2">
      <c r="B2" s="87" t="s">
        <v>266</v>
      </c>
      <c r="C2" s="87"/>
      <c r="D2" s="87"/>
      <c r="E2" s="87"/>
      <c r="F2" s="87"/>
      <c r="G2" s="51"/>
      <c r="H2" s="51"/>
      <c r="I2" s="51"/>
      <c r="K2" s="49" t="s">
        <v>33</v>
      </c>
      <c r="M2" s="88" t="s">
        <v>39</v>
      </c>
      <c r="N2" s="88"/>
      <c r="O2" s="88"/>
      <c r="P2" s="88"/>
      <c r="Q2" s="88"/>
      <c r="R2" s="66"/>
      <c r="S2" s="66"/>
      <c r="T2" s="66"/>
      <c r="V2" s="49" t="s">
        <v>33</v>
      </c>
      <c r="X2" s="87" t="s">
        <v>133</v>
      </c>
      <c r="Y2" s="87"/>
      <c r="Z2" s="87"/>
      <c r="AA2" s="87"/>
      <c r="AB2" s="87"/>
      <c r="AC2" s="51"/>
      <c r="AD2" s="51"/>
      <c r="AE2" s="51"/>
      <c r="AF2" s="51"/>
      <c r="AG2" s="51"/>
      <c r="AH2" s="78"/>
      <c r="AJ2" s="87" t="s">
        <v>133</v>
      </c>
      <c r="AK2" s="87"/>
      <c r="AL2" s="87"/>
      <c r="AM2" s="87"/>
      <c r="AN2" s="87"/>
      <c r="AO2" s="59"/>
      <c r="AP2" s="59"/>
      <c r="AR2" s="87" t="s">
        <v>15</v>
      </c>
      <c r="AS2" s="87"/>
      <c r="AT2" s="87"/>
      <c r="AU2" s="87"/>
      <c r="AV2" s="87"/>
      <c r="AW2" s="5"/>
      <c r="AX2" s="87" t="s">
        <v>28</v>
      </c>
      <c r="AY2" s="87"/>
      <c r="AZ2" s="87"/>
      <c r="BA2" s="87"/>
    </row>
    <row r="3" spans="1:53" s="1" customFormat="1" x14ac:dyDescent="0.2">
      <c r="A3" s="1" t="s">
        <v>13</v>
      </c>
      <c r="B3" s="1" t="s">
        <v>0</v>
      </c>
      <c r="C3" s="1" t="s">
        <v>1</v>
      </c>
      <c r="D3" s="1" t="s">
        <v>20</v>
      </c>
      <c r="E3" s="1" t="s">
        <v>12</v>
      </c>
      <c r="F3" s="1" t="s">
        <v>19</v>
      </c>
      <c r="G3" s="1" t="s">
        <v>178</v>
      </c>
      <c r="H3" s="1" t="s">
        <v>176</v>
      </c>
      <c r="I3" s="1" t="s">
        <v>258</v>
      </c>
      <c r="K3" s="1" t="s">
        <v>19</v>
      </c>
      <c r="M3" s="1" t="s">
        <v>0</v>
      </c>
      <c r="N3" s="1" t="s">
        <v>1</v>
      </c>
      <c r="O3" s="1" t="s">
        <v>12</v>
      </c>
      <c r="P3" s="1" t="s">
        <v>35</v>
      </c>
      <c r="Q3" s="1" t="s">
        <v>19</v>
      </c>
      <c r="R3" s="1" t="s">
        <v>134</v>
      </c>
      <c r="S3" s="1" t="s">
        <v>135</v>
      </c>
      <c r="T3" s="1" t="s">
        <v>176</v>
      </c>
      <c r="X3" s="1" t="s">
        <v>0</v>
      </c>
      <c r="Y3" s="1" t="s">
        <v>1</v>
      </c>
      <c r="Z3" s="1" t="s">
        <v>16</v>
      </c>
      <c r="AA3" s="1" t="s">
        <v>11</v>
      </c>
      <c r="AB3" s="1" t="s">
        <v>19</v>
      </c>
      <c r="AC3" s="1" t="s">
        <v>178</v>
      </c>
      <c r="AD3" s="1" t="s">
        <v>211</v>
      </c>
      <c r="AE3" s="1" t="s">
        <v>134</v>
      </c>
      <c r="AF3" s="1" t="s">
        <v>135</v>
      </c>
      <c r="AG3" s="1" t="s">
        <v>177</v>
      </c>
      <c r="AH3" s="79" t="s">
        <v>206</v>
      </c>
      <c r="AJ3" s="1" t="s">
        <v>0</v>
      </c>
      <c r="AK3" s="1" t="s">
        <v>1</v>
      </c>
      <c r="AL3" s="1" t="s">
        <v>16</v>
      </c>
      <c r="AM3" s="1" t="s">
        <v>11</v>
      </c>
      <c r="AN3" s="1" t="s">
        <v>19</v>
      </c>
      <c r="AO3" s="60" t="s">
        <v>134</v>
      </c>
      <c r="AP3" s="60" t="s">
        <v>135</v>
      </c>
      <c r="AR3" s="1" t="s">
        <v>0</v>
      </c>
      <c r="AS3" s="1" t="s">
        <v>1</v>
      </c>
      <c r="AT3" s="1" t="s">
        <v>16</v>
      </c>
      <c r="AU3" s="1" t="s">
        <v>22</v>
      </c>
      <c r="AV3" s="1" t="s">
        <v>19</v>
      </c>
      <c r="AX3" s="1" t="s">
        <v>0</v>
      </c>
      <c r="AY3" s="1" t="s">
        <v>1</v>
      </c>
      <c r="AZ3" s="1" t="s">
        <v>16</v>
      </c>
      <c r="BA3" s="1" t="s">
        <v>19</v>
      </c>
    </row>
    <row r="4" spans="1:53" x14ac:dyDescent="0.2">
      <c r="A4" s="39">
        <v>1</v>
      </c>
      <c r="B4" s="6" t="s">
        <v>2</v>
      </c>
      <c r="C4" s="7" t="s">
        <v>3</v>
      </c>
      <c r="D4" s="7" t="s">
        <v>4</v>
      </c>
      <c r="E4" s="7">
        <v>0</v>
      </c>
      <c r="F4" s="2" t="str">
        <f>_xlfn.CONCAT("LS","-",B4,"-",C4,"-",D4,"-",E4,"hr")</f>
        <v>LS-JCR-ROS-WET-0hr</v>
      </c>
      <c r="G4" s="2" t="s">
        <v>234</v>
      </c>
      <c r="H4" s="83">
        <v>45810</v>
      </c>
      <c r="I4" s="83">
        <v>45815</v>
      </c>
      <c r="K4" s="2" t="s">
        <v>34</v>
      </c>
      <c r="M4" s="40" t="s">
        <v>2</v>
      </c>
      <c r="N4" s="41" t="s">
        <v>3</v>
      </c>
      <c r="O4" s="41" t="s">
        <v>36</v>
      </c>
      <c r="P4" s="41">
        <v>1</v>
      </c>
      <c r="Q4" s="42" t="str">
        <f t="shared" ref="Q4:Q6" si="0">_xlfn.CONCAT("CUE-",M4,"-",N4,"-",O4,"-",P4)</f>
        <v>CUE-JCR-ROS-0hr-1</v>
      </c>
      <c r="R4" s="70">
        <v>45782.5</v>
      </c>
      <c r="S4" s="70">
        <v>45782.5</v>
      </c>
      <c r="T4" s="70"/>
      <c r="V4" s="45" t="s">
        <v>88</v>
      </c>
      <c r="X4" s="6" t="s">
        <v>2</v>
      </c>
      <c r="Y4" s="7" t="s">
        <v>3</v>
      </c>
      <c r="Z4" s="7" t="s">
        <v>17</v>
      </c>
      <c r="AA4" s="7">
        <v>1</v>
      </c>
      <c r="AB4" s="8" t="str">
        <f t="shared" ref="AB4:AB27" si="1">_xlfn.CONCAT(X4, "-",Y4,"-",Z4,"-",AA4)</f>
        <v>JCR-ROS-PRE-1</v>
      </c>
      <c r="AC4" s="2" t="s">
        <v>179</v>
      </c>
      <c r="AD4" s="2" t="str">
        <f t="shared" ref="AD4:AD29" si="2">_xlfn.CONCAT(AC4, "_", A4)</f>
        <v>JRP1_1</v>
      </c>
      <c r="AE4" s="56">
        <v>45777.496527777781</v>
      </c>
      <c r="AF4" s="56">
        <v>45777.496527777781</v>
      </c>
      <c r="AG4" s="56">
        <v>45792</v>
      </c>
      <c r="AH4" s="80">
        <v>664</v>
      </c>
      <c r="AJ4" s="6" t="s">
        <v>2</v>
      </c>
      <c r="AK4" s="7" t="s">
        <v>3</v>
      </c>
      <c r="AL4" s="7" t="s">
        <v>36</v>
      </c>
      <c r="AM4" s="7">
        <v>1</v>
      </c>
      <c r="AN4" s="8" t="str">
        <f>_xlfn.CONCAT(AJ4,"-",AK4,"-",AL4,"-rep",AM4)</f>
        <v>JCR-ROS-0hr-rep1</v>
      </c>
      <c r="AO4" s="61">
        <v>45777.496527777781</v>
      </c>
      <c r="AP4" s="61">
        <v>45777.496527777781</v>
      </c>
      <c r="AR4" s="6" t="s">
        <v>2</v>
      </c>
      <c r="AS4" s="7" t="s">
        <v>3</v>
      </c>
      <c r="AT4" s="7" t="s">
        <v>23</v>
      </c>
      <c r="AU4" s="7">
        <v>1</v>
      </c>
      <c r="AV4" s="8" t="str">
        <f t="shared" ref="AV4:AV22" si="3">_xlfn.CONCAT(AR4,"-",AS4,"-",AT4,"-",AU4)</f>
        <v>JCR-ROS-pre-1</v>
      </c>
      <c r="AX4" s="40" t="s">
        <v>2</v>
      </c>
      <c r="AY4" s="41" t="s">
        <v>3</v>
      </c>
      <c r="AZ4" s="41" t="s">
        <v>23</v>
      </c>
      <c r="BA4" s="42" t="str">
        <f t="shared" ref="BA4:BA12" si="4">_xlfn.CONCAT(AX4,"-",AY4,"-",AZ4)</f>
        <v>JCR-ROS-pre</v>
      </c>
    </row>
    <row r="5" spans="1:53" x14ac:dyDescent="0.2">
      <c r="A5" s="39">
        <v>2</v>
      </c>
      <c r="B5" s="9" t="s">
        <v>2</v>
      </c>
      <c r="C5" s="2" t="s">
        <v>3</v>
      </c>
      <c r="D5" s="2" t="s">
        <v>4</v>
      </c>
      <c r="E5" s="2">
        <v>1</v>
      </c>
      <c r="F5" s="10" t="str">
        <f>_xlfn.CONCAT("LS","-",B5,"-",C5,"-",D5,"-",E5,"hr")</f>
        <v>LS-JCR-ROS-WET-1hr</v>
      </c>
      <c r="G5" s="2" t="s">
        <v>235</v>
      </c>
      <c r="H5" s="83">
        <v>45810</v>
      </c>
      <c r="I5" s="83">
        <v>45815</v>
      </c>
      <c r="K5" s="2" t="str">
        <f t="shared" ref="K5:K16" si="5">_xlfn.CONCAT(F5, "-d2H")</f>
        <v>LS-JCR-ROS-WET-1hr-d2H</v>
      </c>
      <c r="M5" s="43" t="s">
        <v>2</v>
      </c>
      <c r="N5" s="44" t="s">
        <v>3</v>
      </c>
      <c r="O5" s="44" t="s">
        <v>36</v>
      </c>
      <c r="P5" s="44">
        <v>2</v>
      </c>
      <c r="Q5" s="45" t="str">
        <f t="shared" si="0"/>
        <v>CUE-JCR-ROS-0hr-2</v>
      </c>
      <c r="R5" s="70">
        <v>45782.5</v>
      </c>
      <c r="S5" s="70">
        <v>45782.5</v>
      </c>
      <c r="T5" s="70"/>
      <c r="V5" s="45" t="s">
        <v>89</v>
      </c>
      <c r="X5" s="9" t="s">
        <v>2</v>
      </c>
      <c r="Y5" s="2" t="s">
        <v>3</v>
      </c>
      <c r="Z5" s="2" t="s">
        <v>17</v>
      </c>
      <c r="AA5" s="2">
        <v>2</v>
      </c>
      <c r="AB5" s="10" t="str">
        <f t="shared" si="1"/>
        <v>JCR-ROS-PRE-2</v>
      </c>
      <c r="AC5" s="2" t="s">
        <v>180</v>
      </c>
      <c r="AD5" s="2" t="str">
        <f t="shared" si="2"/>
        <v>JRP2_2</v>
      </c>
      <c r="AE5" s="56">
        <v>45777.496527777781</v>
      </c>
      <c r="AF5" s="56">
        <v>45777.496527777781</v>
      </c>
      <c r="AG5" s="56">
        <v>45792</v>
      </c>
      <c r="AH5" s="80">
        <v>748</v>
      </c>
      <c r="AJ5" s="9" t="s">
        <v>2</v>
      </c>
      <c r="AK5" s="2" t="s">
        <v>3</v>
      </c>
      <c r="AL5" s="7" t="s">
        <v>36</v>
      </c>
      <c r="AM5" s="2">
        <v>2</v>
      </c>
      <c r="AN5" s="10" t="str">
        <f t="shared" ref="AN5:AN39" si="6">_xlfn.CONCAT(AJ5,"-",AK5,"-",AL5,"-rep",AM5)</f>
        <v>JCR-ROS-0hr-rep2</v>
      </c>
      <c r="AO5" s="61">
        <v>45777.496527777781</v>
      </c>
      <c r="AP5" s="61">
        <v>45777.496527777781</v>
      </c>
      <c r="AR5" s="9" t="s">
        <v>2</v>
      </c>
      <c r="AS5" s="2" t="s">
        <v>3</v>
      </c>
      <c r="AT5" s="2" t="s">
        <v>23</v>
      </c>
      <c r="AU5" s="2">
        <v>2</v>
      </c>
      <c r="AV5" s="10" t="str">
        <f t="shared" si="3"/>
        <v>JCR-ROS-pre-2</v>
      </c>
      <c r="AX5" s="43" t="s">
        <v>2</v>
      </c>
      <c r="AY5" s="44" t="s">
        <v>5</v>
      </c>
      <c r="AZ5" s="44" t="s">
        <v>23</v>
      </c>
      <c r="BA5" s="45" t="str">
        <f t="shared" si="4"/>
        <v>JCR-SKY-pre</v>
      </c>
    </row>
    <row r="6" spans="1:53" x14ac:dyDescent="0.2">
      <c r="A6" s="39">
        <v>3</v>
      </c>
      <c r="B6" s="9" t="s">
        <v>2</v>
      </c>
      <c r="C6" s="2" t="s">
        <v>3</v>
      </c>
      <c r="D6" s="2" t="s">
        <v>4</v>
      </c>
      <c r="E6" s="2">
        <v>3</v>
      </c>
      <c r="F6" s="10" t="str">
        <f t="shared" ref="F6:F11" si="7">_xlfn.CONCAT("LS","-",B6,"-",C6,"-",D6,"-",E6,"hr")</f>
        <v>LS-JCR-ROS-WET-3hr</v>
      </c>
      <c r="G6" s="2" t="s">
        <v>242</v>
      </c>
      <c r="H6" s="83">
        <v>45811</v>
      </c>
      <c r="I6" s="83">
        <v>45815</v>
      </c>
      <c r="K6" s="2" t="str">
        <f t="shared" si="5"/>
        <v>LS-JCR-ROS-WET-3hr-d2H</v>
      </c>
      <c r="M6" s="43" t="s">
        <v>2</v>
      </c>
      <c r="N6" s="44" t="s">
        <v>3</v>
      </c>
      <c r="O6" s="44" t="s">
        <v>36</v>
      </c>
      <c r="P6" s="44">
        <v>3</v>
      </c>
      <c r="Q6" s="45" t="str">
        <f t="shared" si="0"/>
        <v>CUE-JCR-ROS-0hr-3</v>
      </c>
      <c r="R6" s="70">
        <v>45782.5</v>
      </c>
      <c r="S6" s="70">
        <v>45782.5</v>
      </c>
      <c r="T6" s="70"/>
      <c r="V6" s="45" t="s">
        <v>90</v>
      </c>
      <c r="X6" s="11" t="s">
        <v>2</v>
      </c>
      <c r="Y6" s="12" t="s">
        <v>3</v>
      </c>
      <c r="Z6" s="12" t="s">
        <v>17</v>
      </c>
      <c r="AA6" s="12">
        <v>3</v>
      </c>
      <c r="AB6" s="13" t="str">
        <f t="shared" si="1"/>
        <v>JCR-ROS-PRE-3</v>
      </c>
      <c r="AC6" s="2" t="s">
        <v>181</v>
      </c>
      <c r="AD6" s="2" t="str">
        <f t="shared" si="2"/>
        <v>JRP3_3</v>
      </c>
      <c r="AE6" s="56">
        <v>45777.496527777781</v>
      </c>
      <c r="AF6" s="56">
        <v>45777.496527777781</v>
      </c>
      <c r="AG6" s="56">
        <v>45792</v>
      </c>
      <c r="AH6" s="80">
        <v>1130</v>
      </c>
      <c r="AJ6" s="11" t="s">
        <v>2</v>
      </c>
      <c r="AK6" s="12" t="s">
        <v>3</v>
      </c>
      <c r="AL6" s="7" t="s">
        <v>36</v>
      </c>
      <c r="AM6" s="12">
        <v>3</v>
      </c>
      <c r="AN6" s="13" t="str">
        <f t="shared" si="6"/>
        <v>JCR-ROS-0hr-rep3</v>
      </c>
      <c r="AO6" s="61">
        <v>45777.496527777781</v>
      </c>
      <c r="AP6" s="61">
        <v>45777.496527777781</v>
      </c>
      <c r="AR6" s="9" t="s">
        <v>2</v>
      </c>
      <c r="AS6" s="2" t="s">
        <v>3</v>
      </c>
      <c r="AT6" s="2" t="s">
        <v>23</v>
      </c>
      <c r="AU6" s="2">
        <v>3</v>
      </c>
      <c r="AV6" s="10" t="str">
        <f t="shared" si="3"/>
        <v>JCR-ROS-pre-3</v>
      </c>
      <c r="AX6" s="43" t="s">
        <v>2</v>
      </c>
      <c r="AY6" s="44" t="s">
        <v>3</v>
      </c>
      <c r="AZ6" s="44" t="s">
        <v>24</v>
      </c>
      <c r="BA6" s="45" t="str">
        <f t="shared" si="4"/>
        <v>JCR-ROS-1h</v>
      </c>
    </row>
    <row r="7" spans="1:53" x14ac:dyDescent="0.2">
      <c r="A7" s="39">
        <v>4</v>
      </c>
      <c r="B7" s="9" t="s">
        <v>2</v>
      </c>
      <c r="C7" s="2" t="s">
        <v>3</v>
      </c>
      <c r="D7" s="2" t="s">
        <v>4</v>
      </c>
      <c r="E7" s="2">
        <v>6</v>
      </c>
      <c r="F7" s="10" t="str">
        <f t="shared" si="7"/>
        <v>LS-JCR-ROS-WET-6hr</v>
      </c>
      <c r="G7" s="2" t="s">
        <v>246</v>
      </c>
      <c r="H7" s="83">
        <v>45812</v>
      </c>
      <c r="I7" s="83">
        <v>45815</v>
      </c>
      <c r="K7" s="2" t="str">
        <f t="shared" si="5"/>
        <v>LS-JCR-ROS-WET-6hr-d2H</v>
      </c>
      <c r="M7" s="43" t="s">
        <v>2</v>
      </c>
      <c r="N7" s="44" t="s">
        <v>3</v>
      </c>
      <c r="O7" s="44" t="s">
        <v>32</v>
      </c>
      <c r="P7" s="44">
        <v>1</v>
      </c>
      <c r="Q7" s="45" t="str">
        <f t="shared" ref="Q7:Q9" si="8">_xlfn.CONCAT("CUE-",M7,"-",N7,"-",O7,"-",P7)</f>
        <v>CUE-JCR-ROS-24hr-1</v>
      </c>
      <c r="R7" s="70">
        <v>45782.5</v>
      </c>
      <c r="S7" s="70">
        <v>45783.5</v>
      </c>
      <c r="T7" s="70"/>
      <c r="V7" s="45" t="s">
        <v>91</v>
      </c>
      <c r="X7" s="6" t="s">
        <v>2</v>
      </c>
      <c r="Y7" s="7" t="s">
        <v>5</v>
      </c>
      <c r="Z7" s="7" t="s">
        <v>17</v>
      </c>
      <c r="AA7" s="7">
        <v>1</v>
      </c>
      <c r="AB7" s="8" t="str">
        <f t="shared" si="1"/>
        <v>JCR-SKY-PRE-1</v>
      </c>
      <c r="AC7" s="2" t="s">
        <v>182</v>
      </c>
      <c r="AD7" s="2" t="str">
        <f t="shared" si="2"/>
        <v>JSP1_4</v>
      </c>
      <c r="AE7" s="56">
        <v>45777.496527777781</v>
      </c>
      <c r="AF7" s="56">
        <v>45777.496527777781</v>
      </c>
      <c r="AG7" s="56">
        <v>45792</v>
      </c>
      <c r="AH7" s="80">
        <v>1300</v>
      </c>
      <c r="AJ7" s="6" t="s">
        <v>2</v>
      </c>
      <c r="AK7" s="7" t="s">
        <v>5</v>
      </c>
      <c r="AL7" s="7" t="s">
        <v>36</v>
      </c>
      <c r="AM7" s="7">
        <v>1</v>
      </c>
      <c r="AN7" s="8" t="str">
        <f t="shared" si="6"/>
        <v>JCR-SKY-0hr-rep1</v>
      </c>
      <c r="AO7" s="61">
        <v>45777.496527777781</v>
      </c>
      <c r="AP7" s="61">
        <v>45777.496527777781</v>
      </c>
      <c r="AR7" s="9" t="s">
        <v>2</v>
      </c>
      <c r="AS7" s="2" t="s">
        <v>3</v>
      </c>
      <c r="AT7" s="2" t="s">
        <v>23</v>
      </c>
      <c r="AU7" s="2">
        <v>8</v>
      </c>
      <c r="AV7" s="10" t="str">
        <f t="shared" si="3"/>
        <v>JCR-ROS-pre-8</v>
      </c>
      <c r="AX7" s="43" t="s">
        <v>2</v>
      </c>
      <c r="AY7" s="44" t="s">
        <v>5</v>
      </c>
      <c r="AZ7" s="44" t="s">
        <v>24</v>
      </c>
      <c r="BA7" s="45" t="str">
        <f t="shared" si="4"/>
        <v>JCR-SKY-1h</v>
      </c>
    </row>
    <row r="8" spans="1:53" x14ac:dyDescent="0.2">
      <c r="A8" s="39">
        <v>5</v>
      </c>
      <c r="B8" s="9" t="s">
        <v>2</v>
      </c>
      <c r="C8" s="2" t="s">
        <v>3</v>
      </c>
      <c r="D8" s="2" t="s">
        <v>4</v>
      </c>
      <c r="E8" s="2">
        <v>24</v>
      </c>
      <c r="F8" s="10" t="str">
        <f t="shared" si="7"/>
        <v>LS-JCR-ROS-WET-24hr</v>
      </c>
      <c r="G8" s="2" t="s">
        <v>250</v>
      </c>
      <c r="H8" s="83">
        <v>45812</v>
      </c>
      <c r="I8" s="83">
        <v>45815</v>
      </c>
      <c r="K8" s="2" t="str">
        <f t="shared" si="5"/>
        <v>LS-JCR-ROS-WET-24hr-d2H</v>
      </c>
      <c r="M8" s="43" t="s">
        <v>2</v>
      </c>
      <c r="N8" s="44" t="s">
        <v>3</v>
      </c>
      <c r="O8" s="44" t="s">
        <v>32</v>
      </c>
      <c r="P8" s="44">
        <v>2</v>
      </c>
      <c r="Q8" s="45" t="str">
        <f t="shared" si="8"/>
        <v>CUE-JCR-ROS-24hr-2</v>
      </c>
      <c r="R8" s="70">
        <v>45782.5</v>
      </c>
      <c r="S8" s="70">
        <v>45783.5</v>
      </c>
      <c r="T8" s="70"/>
      <c r="V8" s="45" t="s">
        <v>92</v>
      </c>
      <c r="X8" s="9" t="s">
        <v>2</v>
      </c>
      <c r="Y8" s="2" t="s">
        <v>5</v>
      </c>
      <c r="Z8" s="2" t="s">
        <v>17</v>
      </c>
      <c r="AA8" s="2">
        <v>2</v>
      </c>
      <c r="AB8" s="10" t="str">
        <f t="shared" si="1"/>
        <v>JCR-SKY-PRE-2</v>
      </c>
      <c r="AC8" s="2" t="s">
        <v>183</v>
      </c>
      <c r="AD8" s="2" t="str">
        <f t="shared" si="2"/>
        <v>JSP2_5</v>
      </c>
      <c r="AE8" s="56">
        <v>45777.496527777781</v>
      </c>
      <c r="AF8" s="56">
        <v>45777.496527777781</v>
      </c>
      <c r="AG8" s="56">
        <v>45792</v>
      </c>
      <c r="AH8" s="80">
        <v>1270</v>
      </c>
      <c r="AJ8" s="9" t="s">
        <v>2</v>
      </c>
      <c r="AK8" s="2" t="s">
        <v>5</v>
      </c>
      <c r="AL8" s="7" t="s">
        <v>36</v>
      </c>
      <c r="AM8" s="2">
        <v>2</v>
      </c>
      <c r="AN8" s="10" t="str">
        <f t="shared" si="6"/>
        <v>JCR-SKY-0hr-rep2</v>
      </c>
      <c r="AO8" s="61">
        <v>45777.496527777781</v>
      </c>
      <c r="AP8" s="61">
        <v>45777.496527777781</v>
      </c>
      <c r="AR8" s="9" t="s">
        <v>2</v>
      </c>
      <c r="AS8" s="2" t="s">
        <v>3</v>
      </c>
      <c r="AT8" s="2" t="s">
        <v>23</v>
      </c>
      <c r="AU8" s="2">
        <v>12</v>
      </c>
      <c r="AV8" s="10" t="str">
        <f t="shared" si="3"/>
        <v>JCR-ROS-pre-12</v>
      </c>
      <c r="AX8" s="43" t="s">
        <v>2</v>
      </c>
      <c r="AY8" s="44" t="s">
        <v>3</v>
      </c>
      <c r="AZ8" s="44" t="s">
        <v>25</v>
      </c>
      <c r="BA8" s="45" t="str">
        <f t="shared" si="4"/>
        <v>JCR-ROS-6h</v>
      </c>
    </row>
    <row r="9" spans="1:53" x14ac:dyDescent="0.2">
      <c r="A9" s="39">
        <v>6</v>
      </c>
      <c r="B9" s="9" t="s">
        <v>2</v>
      </c>
      <c r="C9" s="2" t="s">
        <v>3</v>
      </c>
      <c r="D9" s="2" t="s">
        <v>4</v>
      </c>
      <c r="E9" s="2">
        <v>48</v>
      </c>
      <c r="F9" s="10" t="str">
        <f t="shared" si="7"/>
        <v>LS-JCR-ROS-WET-48hr</v>
      </c>
      <c r="G9" s="2" t="s">
        <v>255</v>
      </c>
      <c r="H9" s="83">
        <v>45813</v>
      </c>
      <c r="I9" s="83">
        <v>45815</v>
      </c>
      <c r="K9" s="2" t="str">
        <f t="shared" si="5"/>
        <v>LS-JCR-ROS-WET-48hr-d2H</v>
      </c>
      <c r="M9" s="43" t="s">
        <v>2</v>
      </c>
      <c r="N9" s="44" t="s">
        <v>3</v>
      </c>
      <c r="O9" s="44" t="s">
        <v>32</v>
      </c>
      <c r="P9" s="44">
        <v>3</v>
      </c>
      <c r="Q9" s="45" t="str">
        <f t="shared" si="8"/>
        <v>CUE-JCR-ROS-24hr-3</v>
      </c>
      <c r="R9" s="70">
        <v>45782.5</v>
      </c>
      <c r="S9" s="70">
        <v>45783.5</v>
      </c>
      <c r="T9" s="70"/>
      <c r="V9" s="48" t="s">
        <v>93</v>
      </c>
      <c r="X9" s="11" t="s">
        <v>2</v>
      </c>
      <c r="Y9" s="12" t="s">
        <v>5</v>
      </c>
      <c r="Z9" s="12" t="s">
        <v>17</v>
      </c>
      <c r="AA9" s="12">
        <v>3</v>
      </c>
      <c r="AB9" s="13" t="str">
        <f t="shared" si="1"/>
        <v>JCR-SKY-PRE-3</v>
      </c>
      <c r="AC9" s="2" t="s">
        <v>184</v>
      </c>
      <c r="AD9" s="2" t="str">
        <f t="shared" si="2"/>
        <v>JSP3_6</v>
      </c>
      <c r="AE9" s="56">
        <v>45777.496527777781</v>
      </c>
      <c r="AF9" s="56">
        <v>45777.496527777781</v>
      </c>
      <c r="AG9" s="56">
        <v>45792</v>
      </c>
      <c r="AH9" s="80">
        <v>1330</v>
      </c>
      <c r="AJ9" s="11" t="s">
        <v>2</v>
      </c>
      <c r="AK9" s="12" t="s">
        <v>5</v>
      </c>
      <c r="AL9" s="7" t="s">
        <v>36</v>
      </c>
      <c r="AM9" s="12">
        <v>3</v>
      </c>
      <c r="AN9" s="13" t="str">
        <f t="shared" si="6"/>
        <v>JCR-SKY-0hr-rep3</v>
      </c>
      <c r="AO9" s="61">
        <v>45777.496527777781</v>
      </c>
      <c r="AP9" s="61">
        <v>45777.496527777781</v>
      </c>
      <c r="AR9" s="11" t="s">
        <v>2</v>
      </c>
      <c r="AS9" s="12" t="s">
        <v>3</v>
      </c>
      <c r="AT9" s="12" t="s">
        <v>23</v>
      </c>
      <c r="AU9" s="12">
        <v>15</v>
      </c>
      <c r="AV9" s="13" t="str">
        <f t="shared" si="3"/>
        <v>JCR-ROS-pre-15</v>
      </c>
      <c r="AX9" s="43" t="s">
        <v>2</v>
      </c>
      <c r="AY9" s="44" t="s">
        <v>5</v>
      </c>
      <c r="AZ9" s="44" t="s">
        <v>25</v>
      </c>
      <c r="BA9" s="45" t="str">
        <f t="shared" si="4"/>
        <v>JCR-SKY-6h</v>
      </c>
    </row>
    <row r="10" spans="1:53" x14ac:dyDescent="0.2">
      <c r="A10" s="39">
        <v>7</v>
      </c>
      <c r="B10" s="11" t="s">
        <v>2</v>
      </c>
      <c r="C10" s="12" t="s">
        <v>3</v>
      </c>
      <c r="D10" s="12" t="s">
        <v>4</v>
      </c>
      <c r="E10" s="12">
        <v>72</v>
      </c>
      <c r="F10" s="13" t="str">
        <f t="shared" si="7"/>
        <v>LS-JCR-ROS-WET-72hr</v>
      </c>
      <c r="G10" s="2" t="s">
        <v>259</v>
      </c>
      <c r="H10" s="83">
        <v>45814</v>
      </c>
      <c r="I10" s="83">
        <v>45815</v>
      </c>
      <c r="K10" s="2" t="str">
        <f t="shared" si="5"/>
        <v>LS-JCR-ROS-WET-72hr-d2H</v>
      </c>
      <c r="M10" s="43" t="s">
        <v>2</v>
      </c>
      <c r="N10" s="44" t="s">
        <v>3</v>
      </c>
      <c r="O10" s="44" t="s">
        <v>37</v>
      </c>
      <c r="P10" s="44">
        <v>1</v>
      </c>
      <c r="Q10" s="45" t="str">
        <f t="shared" ref="Q10:Q21" si="9">_xlfn.CONCAT("CUE-",M10,"-",N10,"-",O10,"-",P10)</f>
        <v>CUE-JCR-ROS-72hr-1</v>
      </c>
      <c r="R10" s="70">
        <v>45782.5</v>
      </c>
      <c r="S10" s="70">
        <v>45785.5</v>
      </c>
      <c r="T10" s="70"/>
      <c r="V10" s="45" t="s">
        <v>97</v>
      </c>
      <c r="X10" s="6" t="s">
        <v>2</v>
      </c>
      <c r="Y10" s="7" t="s">
        <v>3</v>
      </c>
      <c r="Z10" s="7" t="s">
        <v>37</v>
      </c>
      <c r="AA10" s="7">
        <v>1</v>
      </c>
      <c r="AB10" s="8" t="str">
        <f t="shared" si="1"/>
        <v>JCR-ROS-72hr-1</v>
      </c>
      <c r="AC10" s="2" t="s">
        <v>185</v>
      </c>
      <c r="AD10" s="2" t="str">
        <f t="shared" si="2"/>
        <v>JR71_7</v>
      </c>
      <c r="AE10" s="56">
        <v>45777.496527777781</v>
      </c>
      <c r="AF10" s="61">
        <v>45780.513194444444</v>
      </c>
      <c r="AG10" s="56">
        <v>45792</v>
      </c>
      <c r="AH10" s="80">
        <v>768</v>
      </c>
      <c r="AJ10" s="6" t="s">
        <v>2</v>
      </c>
      <c r="AK10" s="7" t="s">
        <v>3</v>
      </c>
      <c r="AL10" s="7" t="s">
        <v>32</v>
      </c>
      <c r="AM10" s="7">
        <v>1</v>
      </c>
      <c r="AN10" s="8" t="str">
        <f t="shared" si="6"/>
        <v>JCR-ROS-24hr-rep1</v>
      </c>
      <c r="AO10" s="64">
        <v>45778.527777777781</v>
      </c>
      <c r="AP10" s="64">
        <v>45779.527083333334</v>
      </c>
      <c r="AR10" s="6" t="s">
        <v>2</v>
      </c>
      <c r="AS10" s="7" t="s">
        <v>5</v>
      </c>
      <c r="AT10" s="7" t="s">
        <v>23</v>
      </c>
      <c r="AU10" s="7">
        <v>1</v>
      </c>
      <c r="AV10" s="8" t="str">
        <f t="shared" si="3"/>
        <v>JCR-SKY-pre-1</v>
      </c>
      <c r="AX10" s="43" t="s">
        <v>2</v>
      </c>
      <c r="AY10" s="44" t="s">
        <v>3</v>
      </c>
      <c r="AZ10" s="44" t="s">
        <v>26</v>
      </c>
      <c r="BA10" s="45" t="str">
        <f t="shared" si="4"/>
        <v>JCR-ROS-24h</v>
      </c>
    </row>
    <row r="11" spans="1:53" x14ac:dyDescent="0.2">
      <c r="A11" s="39">
        <v>8</v>
      </c>
      <c r="B11" s="9" t="s">
        <v>2</v>
      </c>
      <c r="C11" s="2" t="s">
        <v>3</v>
      </c>
      <c r="D11" s="2" t="s">
        <v>21</v>
      </c>
      <c r="E11" s="2">
        <v>1</v>
      </c>
      <c r="F11" s="10" t="str">
        <f t="shared" si="7"/>
        <v>LS-JCR-ROS-VAPOR-1hr</v>
      </c>
      <c r="G11" s="2" t="s">
        <v>268</v>
      </c>
      <c r="H11" s="2"/>
      <c r="I11" s="2"/>
      <c r="K11" s="2" t="str">
        <f t="shared" si="5"/>
        <v>LS-JCR-ROS-VAPOR-1hr-d2H</v>
      </c>
      <c r="M11" s="43" t="s">
        <v>2</v>
      </c>
      <c r="N11" s="44" t="s">
        <v>3</v>
      </c>
      <c r="O11" s="44" t="s">
        <v>37</v>
      </c>
      <c r="P11" s="44">
        <v>2</v>
      </c>
      <c r="Q11" s="45" t="str">
        <f t="shared" si="9"/>
        <v>CUE-JCR-ROS-72hr-2</v>
      </c>
      <c r="R11" s="70">
        <v>45782.5</v>
      </c>
      <c r="S11" s="70">
        <v>45785.5</v>
      </c>
      <c r="T11" s="70"/>
      <c r="V11" s="45" t="s">
        <v>98</v>
      </c>
      <c r="X11" s="9" t="s">
        <v>2</v>
      </c>
      <c r="Y11" s="2" t="s">
        <v>3</v>
      </c>
      <c r="Z11" s="2" t="s">
        <v>37</v>
      </c>
      <c r="AA11" s="2">
        <v>2</v>
      </c>
      <c r="AB11" s="10" t="str">
        <f t="shared" si="1"/>
        <v>JCR-ROS-72hr-2</v>
      </c>
      <c r="AC11" s="2" t="s">
        <v>186</v>
      </c>
      <c r="AD11" s="2" t="str">
        <f t="shared" si="2"/>
        <v>JR72_8</v>
      </c>
      <c r="AE11" s="56">
        <v>45777.496527777781</v>
      </c>
      <c r="AF11" s="61">
        <v>45780.513194444444</v>
      </c>
      <c r="AG11" s="56">
        <v>45792</v>
      </c>
      <c r="AH11" s="80">
        <v>702</v>
      </c>
      <c r="AJ11" s="9" t="s">
        <v>2</v>
      </c>
      <c r="AK11" s="2" t="s">
        <v>3</v>
      </c>
      <c r="AL11" s="2" t="s">
        <v>32</v>
      </c>
      <c r="AM11" s="2">
        <v>2</v>
      </c>
      <c r="AN11" s="10" t="str">
        <f t="shared" si="6"/>
        <v>JCR-ROS-24hr-rep2</v>
      </c>
      <c r="AO11" s="64">
        <v>45778.527777777781</v>
      </c>
      <c r="AP11" s="64">
        <v>45779.527083333334</v>
      </c>
      <c r="AR11" s="9" t="s">
        <v>2</v>
      </c>
      <c r="AS11" s="2" t="s">
        <v>5</v>
      </c>
      <c r="AT11" s="2" t="s">
        <v>23</v>
      </c>
      <c r="AU11" s="2">
        <v>2</v>
      </c>
      <c r="AV11" s="10" t="str">
        <f t="shared" si="3"/>
        <v>JCR-SKY-pre-2</v>
      </c>
      <c r="AX11" s="46" t="s">
        <v>2</v>
      </c>
      <c r="AY11" s="47" t="s">
        <v>3</v>
      </c>
      <c r="AZ11" s="47" t="s">
        <v>27</v>
      </c>
      <c r="BA11" s="48" t="str">
        <f t="shared" si="4"/>
        <v>JCR-ROS-48h</v>
      </c>
    </row>
    <row r="12" spans="1:53" x14ac:dyDescent="0.2">
      <c r="A12" s="39">
        <v>9</v>
      </c>
      <c r="B12" s="9" t="s">
        <v>2</v>
      </c>
      <c r="C12" s="2" t="s">
        <v>3</v>
      </c>
      <c r="D12" s="2" t="s">
        <v>21</v>
      </c>
      <c r="E12" s="2">
        <v>3</v>
      </c>
      <c r="F12" s="10" t="str">
        <f t="shared" ref="F12:F29" si="10">_xlfn.CONCAT("LS","-",B12,"-",C12,"-",D12,"-",E12,"hr")</f>
        <v>LS-JCR-ROS-VAPOR-3hr</v>
      </c>
      <c r="G12" s="2" t="s">
        <v>269</v>
      </c>
      <c r="H12" s="2"/>
      <c r="I12" s="2"/>
      <c r="K12" s="2" t="str">
        <f t="shared" si="5"/>
        <v>LS-JCR-ROS-VAPOR-3hr-d2H</v>
      </c>
      <c r="M12" s="46" t="s">
        <v>2</v>
      </c>
      <c r="N12" s="47" t="s">
        <v>3</v>
      </c>
      <c r="O12" s="47" t="s">
        <v>37</v>
      </c>
      <c r="P12" s="47">
        <v>3</v>
      </c>
      <c r="Q12" s="48" t="str">
        <f t="shared" si="9"/>
        <v>CUE-JCR-ROS-72hr-3</v>
      </c>
      <c r="R12" s="70">
        <v>45782.5</v>
      </c>
      <c r="S12" s="70">
        <v>45785.5</v>
      </c>
      <c r="T12" s="70"/>
      <c r="V12" s="45" t="s">
        <v>99</v>
      </c>
      <c r="X12" s="11" t="s">
        <v>2</v>
      </c>
      <c r="Y12" s="12" t="s">
        <v>3</v>
      </c>
      <c r="Z12" s="12" t="s">
        <v>37</v>
      </c>
      <c r="AA12" s="12">
        <v>3</v>
      </c>
      <c r="AB12" s="13" t="str">
        <f t="shared" si="1"/>
        <v>JCR-ROS-72hr-3</v>
      </c>
      <c r="AC12" s="2" t="s">
        <v>187</v>
      </c>
      <c r="AD12" s="2" t="str">
        <f t="shared" si="2"/>
        <v>JR73_9</v>
      </c>
      <c r="AE12" s="56">
        <v>45777.496527777781</v>
      </c>
      <c r="AF12" s="61">
        <v>45780.513194444444</v>
      </c>
      <c r="AG12" s="56">
        <v>45792</v>
      </c>
      <c r="AH12" s="80">
        <v>858</v>
      </c>
      <c r="AJ12" s="11" t="s">
        <v>2</v>
      </c>
      <c r="AK12" s="12" t="s">
        <v>3</v>
      </c>
      <c r="AL12" s="12" t="s">
        <v>32</v>
      </c>
      <c r="AM12" s="12">
        <v>3</v>
      </c>
      <c r="AN12" s="13" t="str">
        <f t="shared" si="6"/>
        <v>JCR-ROS-24hr-rep3</v>
      </c>
      <c r="AO12" s="64">
        <v>45778.527777777781</v>
      </c>
      <c r="AP12" s="64">
        <v>45779.527083333334</v>
      </c>
      <c r="AR12" s="9" t="s">
        <v>2</v>
      </c>
      <c r="AS12" s="2" t="s">
        <v>5</v>
      </c>
      <c r="AT12" s="2" t="s">
        <v>23</v>
      </c>
      <c r="AU12" s="2">
        <v>3</v>
      </c>
      <c r="AV12" s="10" t="str">
        <f t="shared" si="3"/>
        <v>JCR-SKY-pre-3</v>
      </c>
      <c r="AX12" s="14" t="s">
        <v>7</v>
      </c>
      <c r="AY12" s="15" t="s">
        <v>3</v>
      </c>
      <c r="AZ12" s="15" t="s">
        <v>23</v>
      </c>
      <c r="BA12" s="16" t="str">
        <f t="shared" si="4"/>
        <v>PAL-ROS-pre</v>
      </c>
    </row>
    <row r="13" spans="1:53" x14ac:dyDescent="0.2">
      <c r="A13" s="39">
        <v>10</v>
      </c>
      <c r="B13" s="9" t="s">
        <v>2</v>
      </c>
      <c r="C13" s="2" t="s">
        <v>3</v>
      </c>
      <c r="D13" s="2" t="s">
        <v>21</v>
      </c>
      <c r="E13" s="2">
        <v>6</v>
      </c>
      <c r="F13" s="10" t="str">
        <f t="shared" si="10"/>
        <v>LS-JCR-ROS-VAPOR-6hr</v>
      </c>
      <c r="G13" s="2" t="s">
        <v>270</v>
      </c>
      <c r="H13" s="2"/>
      <c r="I13" s="2"/>
      <c r="K13" s="2" t="str">
        <f t="shared" si="5"/>
        <v>LS-JCR-ROS-VAPOR-6hr-d2H</v>
      </c>
      <c r="M13" s="40" t="s">
        <v>2</v>
      </c>
      <c r="N13" s="41" t="s">
        <v>5</v>
      </c>
      <c r="O13" s="41" t="s">
        <v>36</v>
      </c>
      <c r="P13" s="41">
        <v>1</v>
      </c>
      <c r="Q13" s="42" t="str">
        <f t="shared" si="9"/>
        <v>CUE-JCR-SKY-0hr-1</v>
      </c>
      <c r="R13" s="70">
        <v>45782.5</v>
      </c>
      <c r="S13" s="70">
        <v>45782.5</v>
      </c>
      <c r="T13" s="70"/>
      <c r="V13" s="45" t="s">
        <v>100</v>
      </c>
      <c r="X13" s="6" t="s">
        <v>2</v>
      </c>
      <c r="Y13" s="7" t="s">
        <v>5</v>
      </c>
      <c r="Z13" s="7" t="s">
        <v>37</v>
      </c>
      <c r="AA13" s="7">
        <v>1</v>
      </c>
      <c r="AB13" s="8" t="str">
        <f t="shared" si="1"/>
        <v>JCR-SKY-72hr-1</v>
      </c>
      <c r="AC13" s="2" t="s">
        <v>188</v>
      </c>
      <c r="AD13" s="2" t="str">
        <f t="shared" si="2"/>
        <v>JS71_10</v>
      </c>
      <c r="AE13" s="56">
        <v>45777.496527777781</v>
      </c>
      <c r="AF13" s="61">
        <v>45780.513194444444</v>
      </c>
      <c r="AG13" s="56">
        <v>45792</v>
      </c>
      <c r="AH13" s="80">
        <v>994</v>
      </c>
      <c r="AJ13" s="6" t="s">
        <v>2</v>
      </c>
      <c r="AK13" s="7" t="s">
        <v>5</v>
      </c>
      <c r="AL13" s="7" t="s">
        <v>32</v>
      </c>
      <c r="AM13" s="7">
        <v>1</v>
      </c>
      <c r="AN13" s="8" t="str">
        <f t="shared" si="6"/>
        <v>JCR-SKY-24hr-rep1</v>
      </c>
      <c r="AO13" s="64">
        <v>45778.527777777781</v>
      </c>
      <c r="AP13" s="64">
        <v>45779.527083333334</v>
      </c>
      <c r="AR13" s="9" t="s">
        <v>2</v>
      </c>
      <c r="AS13" s="2" t="s">
        <v>5</v>
      </c>
      <c r="AT13" s="2" t="s">
        <v>23</v>
      </c>
      <c r="AU13" s="2">
        <v>8</v>
      </c>
      <c r="AV13" s="10" t="str">
        <f t="shared" si="3"/>
        <v>JCR-SKY-pre-8</v>
      </c>
      <c r="AX13" s="17" t="s">
        <v>7</v>
      </c>
      <c r="AY13" s="3" t="s">
        <v>5</v>
      </c>
      <c r="AZ13" s="3" t="s">
        <v>23</v>
      </c>
      <c r="BA13" s="18" t="str">
        <f t="shared" ref="BA13:BA20" si="11">_xlfn.CONCAT(AX13,"-",AY13,"-",AZ13)</f>
        <v>PAL-SKY-pre</v>
      </c>
    </row>
    <row r="14" spans="1:53" x14ac:dyDescent="0.2">
      <c r="A14" s="39">
        <v>11</v>
      </c>
      <c r="B14" s="9" t="s">
        <v>2</v>
      </c>
      <c r="C14" s="2" t="s">
        <v>3</v>
      </c>
      <c r="D14" s="2" t="s">
        <v>21</v>
      </c>
      <c r="E14" s="2">
        <v>24</v>
      </c>
      <c r="F14" s="10" t="str">
        <f t="shared" si="10"/>
        <v>LS-JCR-ROS-VAPOR-24hr</v>
      </c>
      <c r="G14" s="2" t="s">
        <v>271</v>
      </c>
      <c r="H14" s="2"/>
      <c r="I14" s="2"/>
      <c r="K14" s="2" t="str">
        <f t="shared" si="5"/>
        <v>LS-JCR-ROS-VAPOR-24hr-d2H</v>
      </c>
      <c r="M14" s="43" t="s">
        <v>2</v>
      </c>
      <c r="N14" s="44" t="s">
        <v>5</v>
      </c>
      <c r="O14" s="44" t="s">
        <v>36</v>
      </c>
      <c r="P14" s="44">
        <v>2</v>
      </c>
      <c r="Q14" s="45" t="str">
        <f t="shared" si="9"/>
        <v>CUE-JCR-SKY-0hr-2</v>
      </c>
      <c r="R14" s="70">
        <v>45782.5</v>
      </c>
      <c r="S14" s="70">
        <v>45782.5</v>
      </c>
      <c r="T14" s="70"/>
      <c r="V14" s="45" t="s">
        <v>101</v>
      </c>
      <c r="X14" s="9" t="s">
        <v>2</v>
      </c>
      <c r="Y14" s="2" t="s">
        <v>5</v>
      </c>
      <c r="Z14" s="2" t="s">
        <v>37</v>
      </c>
      <c r="AA14" s="2">
        <v>2</v>
      </c>
      <c r="AB14" s="10" t="str">
        <f t="shared" si="1"/>
        <v>JCR-SKY-72hr-2</v>
      </c>
      <c r="AC14" s="2" t="s">
        <v>189</v>
      </c>
      <c r="AD14" s="2" t="str">
        <f t="shared" si="2"/>
        <v>JS72_11</v>
      </c>
      <c r="AE14" s="56">
        <v>45777.496527777781</v>
      </c>
      <c r="AF14" s="61">
        <v>45780.513194444444</v>
      </c>
      <c r="AG14" s="56">
        <v>45792</v>
      </c>
      <c r="AH14" s="80">
        <v>954</v>
      </c>
      <c r="AJ14" s="9" t="s">
        <v>2</v>
      </c>
      <c r="AK14" s="2" t="s">
        <v>5</v>
      </c>
      <c r="AL14" s="2" t="s">
        <v>32</v>
      </c>
      <c r="AM14" s="2">
        <v>2</v>
      </c>
      <c r="AN14" s="10" t="str">
        <f t="shared" si="6"/>
        <v>JCR-SKY-24hr-rep2</v>
      </c>
      <c r="AO14" s="64">
        <v>45778.527777777781</v>
      </c>
      <c r="AP14" s="64">
        <v>45779.527083333334</v>
      </c>
      <c r="AR14" s="9" t="s">
        <v>2</v>
      </c>
      <c r="AS14" s="2" t="s">
        <v>5</v>
      </c>
      <c r="AT14" s="2" t="s">
        <v>23</v>
      </c>
      <c r="AU14" s="2">
        <v>12</v>
      </c>
      <c r="AV14" s="10" t="str">
        <f t="shared" si="3"/>
        <v>JCR-SKY-pre-12</v>
      </c>
      <c r="AX14" s="17" t="s">
        <v>7</v>
      </c>
      <c r="AY14" s="3" t="s">
        <v>3</v>
      </c>
      <c r="AZ14" s="3" t="s">
        <v>24</v>
      </c>
      <c r="BA14" s="18" t="str">
        <f t="shared" si="11"/>
        <v>PAL-ROS-1h</v>
      </c>
    </row>
    <row r="15" spans="1:53" x14ac:dyDescent="0.2">
      <c r="A15" s="39">
        <v>12</v>
      </c>
      <c r="B15" s="9" t="s">
        <v>2</v>
      </c>
      <c r="C15" s="2" t="s">
        <v>3</v>
      </c>
      <c r="D15" s="2" t="s">
        <v>21</v>
      </c>
      <c r="E15" s="2">
        <v>48</v>
      </c>
      <c r="F15" s="10" t="str">
        <f t="shared" si="10"/>
        <v>LS-JCR-ROS-VAPOR-48hr</v>
      </c>
      <c r="G15" s="2" t="s">
        <v>272</v>
      </c>
      <c r="H15" s="2"/>
      <c r="I15" s="2"/>
      <c r="K15" s="2" t="str">
        <f t="shared" si="5"/>
        <v>LS-JCR-ROS-VAPOR-48hr-d2H</v>
      </c>
      <c r="M15" s="43" t="s">
        <v>2</v>
      </c>
      <c r="N15" s="44" t="s">
        <v>5</v>
      </c>
      <c r="O15" s="44" t="s">
        <v>36</v>
      </c>
      <c r="P15" s="44">
        <v>3</v>
      </c>
      <c r="Q15" s="45" t="str">
        <f t="shared" si="9"/>
        <v>CUE-JCR-SKY-0hr-3</v>
      </c>
      <c r="R15" s="70">
        <v>45782.5</v>
      </c>
      <c r="S15" s="70">
        <v>45782.5</v>
      </c>
      <c r="T15" s="70"/>
      <c r="V15" s="48" t="s">
        <v>102</v>
      </c>
      <c r="X15" s="11" t="s">
        <v>2</v>
      </c>
      <c r="Y15" s="12" t="s">
        <v>5</v>
      </c>
      <c r="Z15" s="12" t="s">
        <v>37</v>
      </c>
      <c r="AA15" s="12">
        <v>3</v>
      </c>
      <c r="AB15" s="13" t="str">
        <f t="shared" si="1"/>
        <v>JCR-SKY-72hr-3</v>
      </c>
      <c r="AC15" s="2" t="s">
        <v>190</v>
      </c>
      <c r="AD15" s="2" t="str">
        <f t="shared" si="2"/>
        <v>JS73_12</v>
      </c>
      <c r="AE15" s="56">
        <v>45777.496527777781</v>
      </c>
      <c r="AF15" s="61">
        <v>45780.513194444444</v>
      </c>
      <c r="AG15" s="56">
        <v>45792</v>
      </c>
      <c r="AH15" s="80">
        <v>960</v>
      </c>
      <c r="AJ15" s="11" t="s">
        <v>2</v>
      </c>
      <c r="AK15" s="12" t="s">
        <v>5</v>
      </c>
      <c r="AL15" s="12" t="s">
        <v>32</v>
      </c>
      <c r="AM15" s="12">
        <v>3</v>
      </c>
      <c r="AN15" s="13" t="str">
        <f t="shared" si="6"/>
        <v>JCR-SKY-24hr-rep3</v>
      </c>
      <c r="AO15" s="64">
        <v>45778.527777777781</v>
      </c>
      <c r="AP15" s="64">
        <v>45779.527083333334</v>
      </c>
      <c r="AR15" s="11" t="s">
        <v>2</v>
      </c>
      <c r="AS15" s="12" t="s">
        <v>5</v>
      </c>
      <c r="AT15" s="12" t="s">
        <v>23</v>
      </c>
      <c r="AU15" s="12">
        <v>15</v>
      </c>
      <c r="AV15" s="13" t="str">
        <f t="shared" si="3"/>
        <v>JCR-SKY-pre-15</v>
      </c>
      <c r="AX15" s="17" t="s">
        <v>7</v>
      </c>
      <c r="AY15" s="3" t="s">
        <v>5</v>
      </c>
      <c r="AZ15" s="3" t="s">
        <v>24</v>
      </c>
      <c r="BA15" s="18" t="str">
        <f t="shared" si="11"/>
        <v>PAL-SKY-1h</v>
      </c>
    </row>
    <row r="16" spans="1:53" x14ac:dyDescent="0.2">
      <c r="A16" s="39">
        <v>13</v>
      </c>
      <c r="B16" s="11" t="s">
        <v>2</v>
      </c>
      <c r="C16" s="12" t="s">
        <v>3</v>
      </c>
      <c r="D16" s="12" t="s">
        <v>21</v>
      </c>
      <c r="E16" s="12">
        <v>72</v>
      </c>
      <c r="F16" s="13" t="str">
        <f t="shared" si="10"/>
        <v>LS-JCR-ROS-VAPOR-72hr</v>
      </c>
      <c r="G16" s="2" t="s">
        <v>273</v>
      </c>
      <c r="H16" s="2"/>
      <c r="I16" s="2"/>
      <c r="K16" s="2" t="str">
        <f t="shared" si="5"/>
        <v>LS-JCR-ROS-VAPOR-72hr-d2H</v>
      </c>
      <c r="M16" s="43" t="s">
        <v>2</v>
      </c>
      <c r="N16" s="44" t="s">
        <v>5</v>
      </c>
      <c r="O16" s="44" t="s">
        <v>32</v>
      </c>
      <c r="P16" s="44">
        <v>1</v>
      </c>
      <c r="Q16" s="45" t="str">
        <f t="shared" si="9"/>
        <v>CUE-JCR-SKY-24hr-1</v>
      </c>
      <c r="R16" s="70">
        <v>45782.5</v>
      </c>
      <c r="S16" s="70">
        <v>45783.5</v>
      </c>
      <c r="T16" s="70"/>
      <c r="V16" s="26" t="s">
        <v>106</v>
      </c>
      <c r="X16" s="22" t="s">
        <v>6</v>
      </c>
      <c r="Y16" s="23" t="s">
        <v>3</v>
      </c>
      <c r="Z16" s="23" t="s">
        <v>17</v>
      </c>
      <c r="AA16" s="23">
        <v>1</v>
      </c>
      <c r="AB16" s="24" t="str">
        <f t="shared" si="1"/>
        <v>LOM-ROS-PRE-1</v>
      </c>
      <c r="AC16" s="4" t="s">
        <v>191</v>
      </c>
      <c r="AD16" s="4" t="str">
        <f t="shared" si="2"/>
        <v>LRP1_13</v>
      </c>
      <c r="AE16" s="57">
        <v>45777.496527777781</v>
      </c>
      <c r="AF16" s="57">
        <v>45777.496527777781</v>
      </c>
      <c r="AG16" s="57">
        <v>45792</v>
      </c>
      <c r="AH16" s="81">
        <v>576</v>
      </c>
      <c r="AJ16" s="6" t="s">
        <v>2</v>
      </c>
      <c r="AK16" s="7" t="s">
        <v>3</v>
      </c>
      <c r="AL16" s="7" t="s">
        <v>37</v>
      </c>
      <c r="AM16" s="7">
        <v>1</v>
      </c>
      <c r="AN16" s="8" t="str">
        <f t="shared" si="6"/>
        <v>JCR-ROS-72hr-rep1</v>
      </c>
      <c r="AO16" s="61">
        <v>45777.496527777781</v>
      </c>
      <c r="AP16" s="61">
        <v>45780.513194444444</v>
      </c>
      <c r="AR16" s="6" t="s">
        <v>2</v>
      </c>
      <c r="AS16" s="7" t="s">
        <v>3</v>
      </c>
      <c r="AT16" s="7" t="s">
        <v>43</v>
      </c>
      <c r="AU16" s="7">
        <v>1</v>
      </c>
      <c r="AV16" s="8" t="str">
        <f t="shared" si="3"/>
        <v>JCR-ROS-0.5hr-1</v>
      </c>
      <c r="AX16" s="17"/>
      <c r="AY16" s="3"/>
      <c r="AZ16" s="3"/>
      <c r="BA16" s="18"/>
    </row>
    <row r="17" spans="1:53" x14ac:dyDescent="0.2">
      <c r="A17" s="39">
        <v>14</v>
      </c>
      <c r="B17" s="6" t="s">
        <v>2</v>
      </c>
      <c r="C17" s="7" t="s">
        <v>5</v>
      </c>
      <c r="D17" s="7" t="s">
        <v>4</v>
      </c>
      <c r="E17" s="7">
        <v>0</v>
      </c>
      <c r="F17" s="8" t="str">
        <f t="shared" si="10"/>
        <v>LS-JCR-SKY-WET-0hr</v>
      </c>
      <c r="G17" s="2" t="s">
        <v>236</v>
      </c>
      <c r="H17" s="83">
        <v>45810</v>
      </c>
      <c r="I17" s="83">
        <v>45815</v>
      </c>
      <c r="K17" s="2" t="s">
        <v>34</v>
      </c>
      <c r="M17" s="43" t="s">
        <v>2</v>
      </c>
      <c r="N17" s="44" t="s">
        <v>5</v>
      </c>
      <c r="O17" s="44" t="s">
        <v>32</v>
      </c>
      <c r="P17" s="44">
        <v>2</v>
      </c>
      <c r="Q17" s="45" t="str">
        <f t="shared" si="9"/>
        <v>CUE-JCR-SKY-24hr-2</v>
      </c>
      <c r="R17" s="70">
        <v>45782.5</v>
      </c>
      <c r="S17" s="70">
        <v>45783.5</v>
      </c>
      <c r="T17" s="70"/>
      <c r="V17" s="26" t="s">
        <v>107</v>
      </c>
      <c r="X17" s="25" t="s">
        <v>6</v>
      </c>
      <c r="Y17" s="4" t="s">
        <v>3</v>
      </c>
      <c r="Z17" s="4" t="s">
        <v>17</v>
      </c>
      <c r="AA17" s="4">
        <v>2</v>
      </c>
      <c r="AB17" s="26" t="str">
        <f t="shared" si="1"/>
        <v>LOM-ROS-PRE-2</v>
      </c>
      <c r="AC17" s="4" t="s">
        <v>192</v>
      </c>
      <c r="AD17" s="4" t="str">
        <f t="shared" si="2"/>
        <v>LRP2_14</v>
      </c>
      <c r="AE17" s="57">
        <v>45777.496527777781</v>
      </c>
      <c r="AF17" s="57">
        <v>45777.496527777781</v>
      </c>
      <c r="AG17" s="57">
        <v>45792</v>
      </c>
      <c r="AH17" s="81">
        <v>646</v>
      </c>
      <c r="AJ17" s="9" t="s">
        <v>2</v>
      </c>
      <c r="AK17" s="2" t="s">
        <v>3</v>
      </c>
      <c r="AL17" s="2" t="s">
        <v>37</v>
      </c>
      <c r="AM17" s="2">
        <v>2</v>
      </c>
      <c r="AN17" s="10" t="str">
        <f t="shared" si="6"/>
        <v>JCR-ROS-72hr-rep2</v>
      </c>
      <c r="AO17" s="61">
        <v>45777.496527777781</v>
      </c>
      <c r="AP17" s="61">
        <v>45780.513194444444</v>
      </c>
      <c r="AR17" s="9" t="s">
        <v>2</v>
      </c>
      <c r="AS17" s="2" t="s">
        <v>3</v>
      </c>
      <c r="AT17" s="2" t="s">
        <v>43</v>
      </c>
      <c r="AU17" s="2">
        <v>2</v>
      </c>
      <c r="AV17" s="10" t="str">
        <f t="shared" si="3"/>
        <v>JCR-ROS-0.5hr-2</v>
      </c>
      <c r="AX17" s="17" t="s">
        <v>7</v>
      </c>
      <c r="AY17" s="3" t="s">
        <v>3</v>
      </c>
      <c r="AZ17" s="3" t="s">
        <v>25</v>
      </c>
      <c r="BA17" s="18" t="str">
        <f t="shared" si="11"/>
        <v>PAL-ROS-6h</v>
      </c>
    </row>
    <row r="18" spans="1:53" x14ac:dyDescent="0.2">
      <c r="A18" s="39">
        <v>15</v>
      </c>
      <c r="B18" s="9" t="s">
        <v>2</v>
      </c>
      <c r="C18" s="2" t="s">
        <v>5</v>
      </c>
      <c r="D18" s="2" t="s">
        <v>4</v>
      </c>
      <c r="E18" s="2">
        <v>1</v>
      </c>
      <c r="F18" s="10" t="str">
        <f t="shared" si="10"/>
        <v>LS-JCR-SKY-WET-1hr</v>
      </c>
      <c r="G18" s="2" t="s">
        <v>237</v>
      </c>
      <c r="H18" s="83">
        <v>45810</v>
      </c>
      <c r="I18" s="83">
        <v>45815</v>
      </c>
      <c r="K18" s="2" t="str">
        <f t="shared" ref="K18:K29" si="12">_xlfn.CONCAT(F18, "-d2H")</f>
        <v>LS-JCR-SKY-WET-1hr-d2H</v>
      </c>
      <c r="M18" s="43" t="s">
        <v>2</v>
      </c>
      <c r="N18" s="44" t="s">
        <v>5</v>
      </c>
      <c r="O18" s="44" t="s">
        <v>32</v>
      </c>
      <c r="P18" s="44">
        <v>3</v>
      </c>
      <c r="Q18" s="45" t="str">
        <f t="shared" si="9"/>
        <v>CUE-JCR-SKY-24hr-3</v>
      </c>
      <c r="R18" s="70">
        <v>45782.5</v>
      </c>
      <c r="S18" s="70">
        <v>45783.5</v>
      </c>
      <c r="T18" s="70"/>
      <c r="V18" s="26" t="s">
        <v>108</v>
      </c>
      <c r="X18" s="27" t="s">
        <v>6</v>
      </c>
      <c r="Y18" s="28" t="s">
        <v>3</v>
      </c>
      <c r="Z18" s="28" t="s">
        <v>17</v>
      </c>
      <c r="AA18" s="28">
        <v>3</v>
      </c>
      <c r="AB18" s="29" t="str">
        <f t="shared" si="1"/>
        <v>LOM-ROS-PRE-3</v>
      </c>
      <c r="AC18" s="4" t="s">
        <v>193</v>
      </c>
      <c r="AD18" s="4" t="str">
        <f t="shared" si="2"/>
        <v>LRP3_15</v>
      </c>
      <c r="AE18" s="57">
        <v>45777.496527777781</v>
      </c>
      <c r="AF18" s="57">
        <v>45777.496527777781</v>
      </c>
      <c r="AG18" s="57">
        <v>45792</v>
      </c>
      <c r="AH18" s="81">
        <v>530</v>
      </c>
      <c r="AJ18" s="11" t="s">
        <v>2</v>
      </c>
      <c r="AK18" s="12" t="s">
        <v>3</v>
      </c>
      <c r="AL18" s="12" t="s">
        <v>37</v>
      </c>
      <c r="AM18" s="12">
        <v>3</v>
      </c>
      <c r="AN18" s="13" t="str">
        <f t="shared" si="6"/>
        <v>JCR-ROS-72hr-rep3</v>
      </c>
      <c r="AO18" s="61">
        <v>45777.496527777781</v>
      </c>
      <c r="AP18" s="61">
        <v>45780.513194444444</v>
      </c>
      <c r="AR18" s="9" t="s">
        <v>2</v>
      </c>
      <c r="AS18" s="2" t="s">
        <v>3</v>
      </c>
      <c r="AT18" s="2" t="s">
        <v>43</v>
      </c>
      <c r="AU18" s="2">
        <v>3</v>
      </c>
      <c r="AV18" s="10" t="str">
        <f t="shared" si="3"/>
        <v>JCR-ROS-0.5hr-3</v>
      </c>
      <c r="AX18" s="17" t="s">
        <v>7</v>
      </c>
      <c r="AY18" s="3" t="s">
        <v>5</v>
      </c>
      <c r="AZ18" s="3" t="s">
        <v>25</v>
      </c>
      <c r="BA18" s="18" t="str">
        <f t="shared" si="11"/>
        <v>PAL-SKY-6h</v>
      </c>
    </row>
    <row r="19" spans="1:53" x14ac:dyDescent="0.2">
      <c r="A19" s="39">
        <v>16</v>
      </c>
      <c r="B19" s="9" t="s">
        <v>2</v>
      </c>
      <c r="C19" s="2" t="s">
        <v>5</v>
      </c>
      <c r="D19" s="2" t="s">
        <v>4</v>
      </c>
      <c r="E19" s="2">
        <v>3</v>
      </c>
      <c r="F19" s="10" t="str">
        <f t="shared" si="10"/>
        <v>LS-JCR-SKY-WET-3hr</v>
      </c>
      <c r="G19" s="2" t="s">
        <v>243</v>
      </c>
      <c r="H19" s="83">
        <v>45811</v>
      </c>
      <c r="I19" s="83">
        <v>45815</v>
      </c>
      <c r="K19" s="2" t="str">
        <f t="shared" si="12"/>
        <v>LS-JCR-SKY-WET-3hr-d2H</v>
      </c>
      <c r="M19" s="43" t="s">
        <v>2</v>
      </c>
      <c r="N19" s="44" t="s">
        <v>5</v>
      </c>
      <c r="O19" s="44" t="s">
        <v>37</v>
      </c>
      <c r="P19" s="44">
        <v>1</v>
      </c>
      <c r="Q19" s="45" t="str">
        <f t="shared" si="9"/>
        <v>CUE-JCR-SKY-72hr-1</v>
      </c>
      <c r="R19" s="70">
        <v>45782.5</v>
      </c>
      <c r="S19" s="70">
        <v>45785.5</v>
      </c>
      <c r="T19" s="70"/>
      <c r="V19" s="26" t="s">
        <v>109</v>
      </c>
      <c r="X19" s="22" t="s">
        <v>6</v>
      </c>
      <c r="Y19" s="23" t="s">
        <v>5</v>
      </c>
      <c r="Z19" s="23" t="s">
        <v>17</v>
      </c>
      <c r="AA19" s="23">
        <v>1</v>
      </c>
      <c r="AB19" s="24" t="str">
        <f t="shared" si="1"/>
        <v>LOM-SKY-PRE-1</v>
      </c>
      <c r="AC19" s="4" t="s">
        <v>194</v>
      </c>
      <c r="AD19" s="4" t="str">
        <f t="shared" si="2"/>
        <v>LSP1_16</v>
      </c>
      <c r="AE19" s="57">
        <v>45777.496527777781</v>
      </c>
      <c r="AF19" s="57">
        <v>45777.496527777781</v>
      </c>
      <c r="AG19" s="57">
        <v>45792</v>
      </c>
      <c r="AH19" s="81">
        <v>602</v>
      </c>
      <c r="AJ19" s="6" t="s">
        <v>2</v>
      </c>
      <c r="AK19" s="7" t="s">
        <v>5</v>
      </c>
      <c r="AL19" s="7" t="s">
        <v>37</v>
      </c>
      <c r="AM19" s="7">
        <v>1</v>
      </c>
      <c r="AN19" s="8" t="str">
        <f t="shared" si="6"/>
        <v>JCR-SKY-72hr-rep1</v>
      </c>
      <c r="AO19" s="61">
        <v>45777.496527777781</v>
      </c>
      <c r="AP19" s="61">
        <v>45780.513194444444</v>
      </c>
      <c r="AR19" s="9" t="s">
        <v>2</v>
      </c>
      <c r="AS19" s="2" t="s">
        <v>3</v>
      </c>
      <c r="AT19" s="2" t="s">
        <v>43</v>
      </c>
      <c r="AU19" s="2">
        <v>8</v>
      </c>
      <c r="AV19" s="10" t="str">
        <f t="shared" si="3"/>
        <v>JCR-ROS-0.5hr-8</v>
      </c>
      <c r="AX19" s="17" t="s">
        <v>7</v>
      </c>
      <c r="AY19" s="3" t="s">
        <v>3</v>
      </c>
      <c r="AZ19" s="3" t="s">
        <v>26</v>
      </c>
      <c r="BA19" s="18" t="str">
        <f t="shared" si="11"/>
        <v>PAL-ROS-24h</v>
      </c>
    </row>
    <row r="20" spans="1:53" x14ac:dyDescent="0.2">
      <c r="A20" s="39">
        <v>17</v>
      </c>
      <c r="B20" s="9" t="s">
        <v>2</v>
      </c>
      <c r="C20" s="2" t="s">
        <v>5</v>
      </c>
      <c r="D20" s="2" t="s">
        <v>4</v>
      </c>
      <c r="E20" s="2">
        <v>6</v>
      </c>
      <c r="F20" s="10" t="str">
        <f t="shared" si="10"/>
        <v>LS-JCR-SKY-WET-6hr</v>
      </c>
      <c r="G20" s="2" t="s">
        <v>247</v>
      </c>
      <c r="H20" s="83">
        <v>45812</v>
      </c>
      <c r="I20" s="83">
        <v>45815</v>
      </c>
      <c r="K20" s="2" t="str">
        <f t="shared" si="12"/>
        <v>LS-JCR-SKY-WET-6hr-d2H</v>
      </c>
      <c r="M20" s="43" t="s">
        <v>2</v>
      </c>
      <c r="N20" s="44" t="s">
        <v>5</v>
      </c>
      <c r="O20" s="44" t="s">
        <v>37</v>
      </c>
      <c r="P20" s="44">
        <v>2</v>
      </c>
      <c r="Q20" s="45" t="str">
        <f t="shared" si="9"/>
        <v>CUE-JCR-SKY-72hr-2</v>
      </c>
      <c r="R20" s="70">
        <v>45782.5</v>
      </c>
      <c r="S20" s="70">
        <v>45785.5</v>
      </c>
      <c r="T20" s="70"/>
      <c r="V20" s="26" t="s">
        <v>110</v>
      </c>
      <c r="X20" s="25" t="s">
        <v>6</v>
      </c>
      <c r="Y20" s="4" t="s">
        <v>5</v>
      </c>
      <c r="Z20" s="4" t="s">
        <v>17</v>
      </c>
      <c r="AA20" s="4">
        <v>2</v>
      </c>
      <c r="AB20" s="26" t="str">
        <f t="shared" si="1"/>
        <v>LOM-SKY-PRE-2</v>
      </c>
      <c r="AC20" s="4" t="s">
        <v>196</v>
      </c>
      <c r="AD20" s="4" t="str">
        <f t="shared" si="2"/>
        <v>LSP2_17</v>
      </c>
      <c r="AE20" s="57">
        <v>45777.496527777781</v>
      </c>
      <c r="AF20" s="57">
        <v>45777.496527777781</v>
      </c>
      <c r="AG20" s="57">
        <v>45792</v>
      </c>
      <c r="AH20" s="81">
        <v>568</v>
      </c>
      <c r="AJ20" s="9" t="s">
        <v>2</v>
      </c>
      <c r="AK20" s="2" t="s">
        <v>5</v>
      </c>
      <c r="AL20" s="2" t="s">
        <v>37</v>
      </c>
      <c r="AM20" s="2">
        <v>2</v>
      </c>
      <c r="AN20" s="10" t="str">
        <f t="shared" si="6"/>
        <v>JCR-SKY-72hr-rep2</v>
      </c>
      <c r="AO20" s="61">
        <v>45777.496527777781</v>
      </c>
      <c r="AP20" s="61">
        <v>45780.513194444444</v>
      </c>
      <c r="AR20" s="9" t="s">
        <v>2</v>
      </c>
      <c r="AS20" s="2" t="s">
        <v>3</v>
      </c>
      <c r="AT20" s="2" t="s">
        <v>43</v>
      </c>
      <c r="AU20" s="2">
        <v>12</v>
      </c>
      <c r="AV20" s="10" t="str">
        <f t="shared" si="3"/>
        <v>JCR-ROS-0.5hr-12</v>
      </c>
      <c r="AX20" s="19" t="s">
        <v>7</v>
      </c>
      <c r="AY20" s="20" t="s">
        <v>3</v>
      </c>
      <c r="AZ20" s="20" t="s">
        <v>27</v>
      </c>
      <c r="BA20" s="21" t="str">
        <f t="shared" si="11"/>
        <v>PAL-ROS-48h</v>
      </c>
    </row>
    <row r="21" spans="1:53" x14ac:dyDescent="0.2">
      <c r="A21" s="39">
        <v>18</v>
      </c>
      <c r="B21" s="9" t="s">
        <v>2</v>
      </c>
      <c r="C21" s="2" t="s">
        <v>5</v>
      </c>
      <c r="D21" s="2" t="s">
        <v>4</v>
      </c>
      <c r="E21" s="2">
        <v>24</v>
      </c>
      <c r="F21" s="10" t="str">
        <f t="shared" si="10"/>
        <v>LS-JCR-SKY-WET-24hr</v>
      </c>
      <c r="G21" s="2" t="s">
        <v>251</v>
      </c>
      <c r="H21" s="83">
        <v>45812</v>
      </c>
      <c r="I21" s="83">
        <v>45815</v>
      </c>
      <c r="K21" s="2" t="str">
        <f t="shared" si="12"/>
        <v>LS-JCR-SKY-WET-24hr-d2H</v>
      </c>
      <c r="M21" s="46" t="s">
        <v>2</v>
      </c>
      <c r="N21" s="47" t="s">
        <v>5</v>
      </c>
      <c r="O21" s="47" t="s">
        <v>37</v>
      </c>
      <c r="P21" s="47">
        <v>3</v>
      </c>
      <c r="Q21" s="48" t="str">
        <f t="shared" si="9"/>
        <v>CUE-JCR-SKY-72hr-3</v>
      </c>
      <c r="R21" s="70">
        <v>45782.5</v>
      </c>
      <c r="S21" s="70">
        <v>45785.5</v>
      </c>
      <c r="T21" s="70"/>
      <c r="V21" s="29" t="s">
        <v>111</v>
      </c>
      <c r="X21" s="27" t="s">
        <v>6</v>
      </c>
      <c r="Y21" s="28" t="s">
        <v>5</v>
      </c>
      <c r="Z21" s="28" t="s">
        <v>17</v>
      </c>
      <c r="AA21" s="28">
        <v>3</v>
      </c>
      <c r="AB21" s="29" t="str">
        <f t="shared" si="1"/>
        <v>LOM-SKY-PRE-3</v>
      </c>
      <c r="AC21" s="4" t="s">
        <v>195</v>
      </c>
      <c r="AD21" s="4" t="str">
        <f t="shared" si="2"/>
        <v>LSP3_18</v>
      </c>
      <c r="AE21" s="57">
        <v>45777.496527777781</v>
      </c>
      <c r="AF21" s="57">
        <v>45777.496527777781</v>
      </c>
      <c r="AG21" s="57">
        <v>45792</v>
      </c>
      <c r="AH21" s="81">
        <v>602</v>
      </c>
      <c r="AJ21" s="11" t="s">
        <v>2</v>
      </c>
      <c r="AK21" s="12" t="s">
        <v>5</v>
      </c>
      <c r="AL21" s="12" t="s">
        <v>37</v>
      </c>
      <c r="AM21" s="12">
        <v>3</v>
      </c>
      <c r="AN21" s="13" t="str">
        <f t="shared" si="6"/>
        <v>JCR-SKY-72hr-rep3</v>
      </c>
      <c r="AO21" s="61">
        <v>45777.496527777781</v>
      </c>
      <c r="AP21" s="61">
        <v>45780.513194444444</v>
      </c>
      <c r="AR21" s="11" t="s">
        <v>2</v>
      </c>
      <c r="AS21" s="12" t="s">
        <v>3</v>
      </c>
      <c r="AT21" s="12" t="s">
        <v>43</v>
      </c>
      <c r="AU21" s="12">
        <v>15</v>
      </c>
      <c r="AV21" s="13" t="str">
        <f t="shared" si="3"/>
        <v>JCR-ROS-0.5hr-15</v>
      </c>
      <c r="AX21" s="22" t="s">
        <v>6</v>
      </c>
      <c r="AY21" s="23" t="s">
        <v>3</v>
      </c>
      <c r="AZ21" s="23" t="s">
        <v>23</v>
      </c>
      <c r="BA21" s="24" t="str">
        <f>_xlfn.CONCAT(AX21,"-",AY21,"-",AZ21)</f>
        <v>LOM-ROS-pre</v>
      </c>
    </row>
    <row r="22" spans="1:53" x14ac:dyDescent="0.2">
      <c r="A22" s="39">
        <v>19</v>
      </c>
      <c r="B22" s="9" t="s">
        <v>2</v>
      </c>
      <c r="C22" s="2" t="s">
        <v>5</v>
      </c>
      <c r="D22" s="2" t="s">
        <v>4</v>
      </c>
      <c r="E22" s="2">
        <v>48</v>
      </c>
      <c r="F22" s="10" t="str">
        <f t="shared" si="10"/>
        <v>LS-JCR-SKY-WET-48hr</v>
      </c>
      <c r="G22" s="2" t="s">
        <v>256</v>
      </c>
      <c r="H22" s="83">
        <v>45813</v>
      </c>
      <c r="I22" s="83">
        <v>45815</v>
      </c>
      <c r="K22" s="2" t="str">
        <f t="shared" si="12"/>
        <v>LS-JCR-SKY-WET-48hr-d2H</v>
      </c>
      <c r="M22" s="22" t="s">
        <v>6</v>
      </c>
      <c r="N22" s="23" t="s">
        <v>3</v>
      </c>
      <c r="O22" s="23" t="s">
        <v>36</v>
      </c>
      <c r="P22" s="23">
        <v>1</v>
      </c>
      <c r="Q22" s="24" t="str">
        <f t="shared" ref="Q22:Q27" si="13">_xlfn.CONCAT("CUE-",M22,"-",N22,"-",O22,"-",P22)</f>
        <v>CUE-LOM-ROS-0hr-1</v>
      </c>
      <c r="R22" s="57">
        <v>45782.5</v>
      </c>
      <c r="S22" s="57">
        <v>45782.5</v>
      </c>
      <c r="T22" s="57"/>
      <c r="V22" s="26" t="s">
        <v>115</v>
      </c>
      <c r="X22" s="22" t="s">
        <v>6</v>
      </c>
      <c r="Y22" s="23" t="s">
        <v>3</v>
      </c>
      <c r="Z22" s="23" t="s">
        <v>37</v>
      </c>
      <c r="AA22" s="23">
        <v>1</v>
      </c>
      <c r="AB22" s="24" t="str">
        <f t="shared" si="1"/>
        <v>LOM-ROS-72hr-1</v>
      </c>
      <c r="AC22" s="4" t="s">
        <v>197</v>
      </c>
      <c r="AD22" s="4" t="str">
        <f t="shared" si="2"/>
        <v>LR71_19</v>
      </c>
      <c r="AE22" s="57">
        <v>45777.496527777781</v>
      </c>
      <c r="AF22" s="62">
        <v>45780.513194444444</v>
      </c>
      <c r="AG22" s="57">
        <v>45792</v>
      </c>
      <c r="AH22" s="81">
        <v>436</v>
      </c>
      <c r="AJ22" s="22" t="s">
        <v>6</v>
      </c>
      <c r="AK22" s="23" t="s">
        <v>3</v>
      </c>
      <c r="AL22" s="23" t="s">
        <v>36</v>
      </c>
      <c r="AM22" s="23">
        <v>1</v>
      </c>
      <c r="AN22" s="24" t="str">
        <f t="shared" si="6"/>
        <v>LOM-ROS-0hr-rep1</v>
      </c>
      <c r="AO22" s="62">
        <v>45777.496527777781</v>
      </c>
      <c r="AP22" s="62">
        <v>45777.496527777781</v>
      </c>
      <c r="AR22" s="6" t="s">
        <v>2</v>
      </c>
      <c r="AS22" s="7" t="s">
        <v>5</v>
      </c>
      <c r="AT22" s="7" t="s">
        <v>43</v>
      </c>
      <c r="AU22" s="7">
        <v>1</v>
      </c>
      <c r="AV22" s="8" t="str">
        <f t="shared" si="3"/>
        <v>JCR-SKY-0.5hr-1</v>
      </c>
      <c r="AX22" s="25" t="s">
        <v>6</v>
      </c>
      <c r="AY22" s="4" t="s">
        <v>5</v>
      </c>
      <c r="AZ22" s="4" t="s">
        <v>23</v>
      </c>
      <c r="BA22" s="26" t="str">
        <f t="shared" ref="BA22:BA28" si="14">_xlfn.CONCAT(AX22,"-",AY22,"-",AZ22)</f>
        <v>LOM-SKY-pre</v>
      </c>
    </row>
    <row r="23" spans="1:53" x14ac:dyDescent="0.2">
      <c r="A23" s="39">
        <v>20</v>
      </c>
      <c r="B23" s="11" t="s">
        <v>2</v>
      </c>
      <c r="C23" s="12" t="s">
        <v>5</v>
      </c>
      <c r="D23" s="12" t="s">
        <v>4</v>
      </c>
      <c r="E23" s="12">
        <v>72</v>
      </c>
      <c r="F23" s="13" t="str">
        <f t="shared" si="10"/>
        <v>LS-JCR-SKY-WET-72hr</v>
      </c>
      <c r="G23" s="2" t="s">
        <v>260</v>
      </c>
      <c r="H23" s="83">
        <v>45814</v>
      </c>
      <c r="I23" s="83">
        <v>45815</v>
      </c>
      <c r="K23" s="2" t="str">
        <f t="shared" si="12"/>
        <v>LS-JCR-SKY-WET-72hr-d2H</v>
      </c>
      <c r="M23" s="25" t="s">
        <v>6</v>
      </c>
      <c r="N23" s="4" t="s">
        <v>3</v>
      </c>
      <c r="O23" s="4" t="s">
        <v>36</v>
      </c>
      <c r="P23" s="4">
        <v>2</v>
      </c>
      <c r="Q23" s="26" t="str">
        <f t="shared" si="13"/>
        <v>CUE-LOM-ROS-0hr-2</v>
      </c>
      <c r="R23" s="57">
        <v>45782.5</v>
      </c>
      <c r="S23" s="57">
        <v>45782.5</v>
      </c>
      <c r="T23" s="57"/>
      <c r="V23" s="26" t="s">
        <v>116</v>
      </c>
      <c r="X23" s="25" t="s">
        <v>6</v>
      </c>
      <c r="Y23" s="4" t="s">
        <v>3</v>
      </c>
      <c r="Z23" s="4" t="s">
        <v>37</v>
      </c>
      <c r="AA23" s="4">
        <v>2</v>
      </c>
      <c r="AB23" s="26" t="str">
        <f t="shared" si="1"/>
        <v>LOM-ROS-72hr-2</v>
      </c>
      <c r="AC23" s="4" t="s">
        <v>198</v>
      </c>
      <c r="AD23" s="4" t="str">
        <f t="shared" si="2"/>
        <v>LR72_20</v>
      </c>
      <c r="AE23" s="57">
        <v>45777.496527777781</v>
      </c>
      <c r="AF23" s="62">
        <v>45780.513194444444</v>
      </c>
      <c r="AG23" s="57">
        <v>45792</v>
      </c>
      <c r="AH23" s="81">
        <v>374</v>
      </c>
      <c r="AJ23" s="25" t="s">
        <v>6</v>
      </c>
      <c r="AK23" s="4" t="s">
        <v>3</v>
      </c>
      <c r="AL23" s="4" t="s">
        <v>36</v>
      </c>
      <c r="AM23" s="4">
        <v>2</v>
      </c>
      <c r="AN23" s="26" t="str">
        <f t="shared" si="6"/>
        <v>LOM-ROS-0hr-rep2</v>
      </c>
      <c r="AO23" s="62">
        <v>45777.496527777781</v>
      </c>
      <c r="AP23" s="62">
        <v>45777.496527777781</v>
      </c>
      <c r="AR23" s="9" t="s">
        <v>2</v>
      </c>
      <c r="AS23" s="2" t="s">
        <v>5</v>
      </c>
      <c r="AT23" s="2" t="s">
        <v>43</v>
      </c>
      <c r="AU23" s="2">
        <v>2</v>
      </c>
      <c r="AV23" s="10" t="str">
        <f t="shared" ref="AV23:AV27" si="15">_xlfn.CONCAT(AR23,"-",AS23,"-",AT23,"-",AU23)</f>
        <v>JCR-SKY-0.5hr-2</v>
      </c>
      <c r="AX23" s="25" t="s">
        <v>6</v>
      </c>
      <c r="AY23" s="4" t="s">
        <v>3</v>
      </c>
      <c r="AZ23" s="4" t="s">
        <v>24</v>
      </c>
      <c r="BA23" s="26" t="str">
        <f t="shared" si="14"/>
        <v>LOM-ROS-1h</v>
      </c>
    </row>
    <row r="24" spans="1:53" x14ac:dyDescent="0.2">
      <c r="A24" s="39">
        <v>21</v>
      </c>
      <c r="B24" s="9" t="s">
        <v>2</v>
      </c>
      <c r="C24" s="2" t="s">
        <v>5</v>
      </c>
      <c r="D24" s="2" t="s">
        <v>21</v>
      </c>
      <c r="E24" s="2">
        <v>1</v>
      </c>
      <c r="F24" s="10" t="str">
        <f t="shared" si="10"/>
        <v>LS-JCR-SKY-VAPOR-1hr</v>
      </c>
      <c r="G24" s="2" t="s">
        <v>267</v>
      </c>
      <c r="H24" s="2"/>
      <c r="I24" s="2"/>
      <c r="K24" s="2" t="str">
        <f t="shared" si="12"/>
        <v>LS-JCR-SKY-VAPOR-1hr-d2H</v>
      </c>
      <c r="M24" s="25" t="s">
        <v>6</v>
      </c>
      <c r="N24" s="4" t="s">
        <v>3</v>
      </c>
      <c r="O24" s="4" t="s">
        <v>36</v>
      </c>
      <c r="P24" s="4">
        <v>3</v>
      </c>
      <c r="Q24" s="26" t="str">
        <f t="shared" si="13"/>
        <v>CUE-LOM-ROS-0hr-3</v>
      </c>
      <c r="R24" s="57">
        <v>45782.5</v>
      </c>
      <c r="S24" s="57">
        <v>45782.5</v>
      </c>
      <c r="T24" s="57"/>
      <c r="V24" s="26" t="s">
        <v>117</v>
      </c>
      <c r="X24" s="27" t="s">
        <v>6</v>
      </c>
      <c r="Y24" s="28" t="s">
        <v>3</v>
      </c>
      <c r="Z24" s="28" t="s">
        <v>37</v>
      </c>
      <c r="AA24" s="28">
        <v>3</v>
      </c>
      <c r="AB24" s="29" t="str">
        <f t="shared" si="1"/>
        <v>LOM-ROS-72hr-3</v>
      </c>
      <c r="AC24" s="4" t="s">
        <v>199</v>
      </c>
      <c r="AD24" s="4" t="str">
        <f t="shared" si="2"/>
        <v>LR73_21</v>
      </c>
      <c r="AE24" s="57">
        <v>45777.496527777781</v>
      </c>
      <c r="AF24" s="62">
        <v>45780.513194444444</v>
      </c>
      <c r="AG24" s="57">
        <v>45792</v>
      </c>
      <c r="AH24" s="81">
        <v>562</v>
      </c>
      <c r="AJ24" s="30" t="s">
        <v>6</v>
      </c>
      <c r="AK24" s="31" t="s">
        <v>3</v>
      </c>
      <c r="AL24" s="31" t="s">
        <v>36</v>
      </c>
      <c r="AM24" s="31">
        <v>3</v>
      </c>
      <c r="AN24" s="32" t="str">
        <f t="shared" si="6"/>
        <v>LOM-ROS-0hr-rep3</v>
      </c>
      <c r="AO24" s="62">
        <v>45777.496527777781</v>
      </c>
      <c r="AP24" s="62">
        <v>45777.496527777781</v>
      </c>
      <c r="AR24" s="9" t="s">
        <v>2</v>
      </c>
      <c r="AS24" s="2" t="s">
        <v>5</v>
      </c>
      <c r="AT24" s="2" t="s">
        <v>43</v>
      </c>
      <c r="AU24" s="2">
        <v>3</v>
      </c>
      <c r="AV24" s="10" t="str">
        <f t="shared" si="15"/>
        <v>JCR-SKY-0.5hr-3</v>
      </c>
      <c r="AX24" s="25" t="s">
        <v>6</v>
      </c>
      <c r="AY24" s="4" t="s">
        <v>5</v>
      </c>
      <c r="AZ24" s="4" t="s">
        <v>24</v>
      </c>
      <c r="BA24" s="26" t="str">
        <f t="shared" si="14"/>
        <v>LOM-SKY-1h</v>
      </c>
    </row>
    <row r="25" spans="1:53" x14ac:dyDescent="0.2">
      <c r="A25" s="39">
        <v>22</v>
      </c>
      <c r="B25" s="9" t="s">
        <v>2</v>
      </c>
      <c r="C25" s="2" t="s">
        <v>5</v>
      </c>
      <c r="D25" s="2" t="s">
        <v>21</v>
      </c>
      <c r="E25" s="2">
        <v>3</v>
      </c>
      <c r="F25" s="10" t="str">
        <f t="shared" si="10"/>
        <v>LS-JCR-SKY-VAPOR-3hr</v>
      </c>
      <c r="G25" s="2" t="s">
        <v>274</v>
      </c>
      <c r="H25" s="2"/>
      <c r="I25" s="2"/>
      <c r="K25" s="2" t="str">
        <f t="shared" si="12"/>
        <v>LS-JCR-SKY-VAPOR-3hr-d2H</v>
      </c>
      <c r="M25" s="25" t="s">
        <v>6</v>
      </c>
      <c r="N25" s="4" t="s">
        <v>3</v>
      </c>
      <c r="O25" s="4" t="s">
        <v>32</v>
      </c>
      <c r="P25" s="4">
        <v>1</v>
      </c>
      <c r="Q25" s="26" t="str">
        <f t="shared" si="13"/>
        <v>CUE-LOM-ROS-24hr-1</v>
      </c>
      <c r="R25" s="57">
        <v>45782.5</v>
      </c>
      <c r="S25" s="57">
        <v>45783.5</v>
      </c>
      <c r="T25" s="57"/>
      <c r="V25" s="26" t="s">
        <v>118</v>
      </c>
      <c r="X25" s="22" t="s">
        <v>6</v>
      </c>
      <c r="Y25" s="23" t="s">
        <v>5</v>
      </c>
      <c r="Z25" s="23" t="s">
        <v>37</v>
      </c>
      <c r="AA25" s="23">
        <v>1</v>
      </c>
      <c r="AB25" s="24" t="str">
        <f t="shared" si="1"/>
        <v>LOM-SKY-72hr-1</v>
      </c>
      <c r="AC25" s="4" t="s">
        <v>200</v>
      </c>
      <c r="AD25" s="4" t="str">
        <f t="shared" si="2"/>
        <v>LS71_22</v>
      </c>
      <c r="AE25" s="57">
        <v>45777.496527777781</v>
      </c>
      <c r="AF25" s="62">
        <v>45780.513194444444</v>
      </c>
      <c r="AG25" s="57">
        <v>45792</v>
      </c>
      <c r="AH25" s="81">
        <v>374</v>
      </c>
      <c r="AJ25" s="33" t="s">
        <v>6</v>
      </c>
      <c r="AK25" s="34" t="s">
        <v>5</v>
      </c>
      <c r="AL25" s="34" t="s">
        <v>36</v>
      </c>
      <c r="AM25" s="34">
        <v>1</v>
      </c>
      <c r="AN25" s="35" t="str">
        <f t="shared" si="6"/>
        <v>LOM-SKY-0hr-rep1</v>
      </c>
      <c r="AO25" s="62">
        <v>45777.496527777781</v>
      </c>
      <c r="AP25" s="62">
        <v>45777.496527777781</v>
      </c>
      <c r="AR25" s="9" t="s">
        <v>2</v>
      </c>
      <c r="AS25" s="2" t="s">
        <v>5</v>
      </c>
      <c r="AT25" s="2" t="s">
        <v>43</v>
      </c>
      <c r="AU25" s="2">
        <v>8</v>
      </c>
      <c r="AV25" s="10" t="str">
        <f t="shared" si="15"/>
        <v>JCR-SKY-0.5hr-8</v>
      </c>
      <c r="AX25" s="25" t="s">
        <v>6</v>
      </c>
      <c r="AY25" s="4" t="s">
        <v>3</v>
      </c>
      <c r="AZ25" s="4" t="s">
        <v>25</v>
      </c>
      <c r="BA25" s="26" t="str">
        <f t="shared" si="14"/>
        <v>LOM-ROS-6h</v>
      </c>
    </row>
    <row r="26" spans="1:53" x14ac:dyDescent="0.2">
      <c r="A26" s="39">
        <v>23</v>
      </c>
      <c r="B26" s="9" t="s">
        <v>2</v>
      </c>
      <c r="C26" s="2" t="s">
        <v>5</v>
      </c>
      <c r="D26" s="2" t="s">
        <v>21</v>
      </c>
      <c r="E26" s="2">
        <v>6</v>
      </c>
      <c r="F26" s="10" t="str">
        <f t="shared" si="10"/>
        <v>LS-JCR-SKY-VAPOR-6hr</v>
      </c>
      <c r="G26" s="2" t="s">
        <v>275</v>
      </c>
      <c r="H26" s="2"/>
      <c r="I26" s="2"/>
      <c r="K26" s="2" t="str">
        <f t="shared" si="12"/>
        <v>LS-JCR-SKY-VAPOR-6hr-d2H</v>
      </c>
      <c r="M26" s="25" t="s">
        <v>6</v>
      </c>
      <c r="N26" s="4" t="s">
        <v>3</v>
      </c>
      <c r="O26" s="4" t="s">
        <v>32</v>
      </c>
      <c r="P26" s="4">
        <v>2</v>
      </c>
      <c r="Q26" s="26" t="str">
        <f t="shared" si="13"/>
        <v>CUE-LOM-ROS-24hr-2</v>
      </c>
      <c r="R26" s="57">
        <v>45782.5</v>
      </c>
      <c r="S26" s="57">
        <v>45783.5</v>
      </c>
      <c r="T26" s="57"/>
      <c r="V26" s="26" t="s">
        <v>119</v>
      </c>
      <c r="X26" s="25" t="s">
        <v>6</v>
      </c>
      <c r="Y26" s="4" t="s">
        <v>5</v>
      </c>
      <c r="Z26" s="4" t="s">
        <v>37</v>
      </c>
      <c r="AA26" s="4">
        <v>2</v>
      </c>
      <c r="AB26" s="26" t="str">
        <f t="shared" si="1"/>
        <v>LOM-SKY-72hr-2</v>
      </c>
      <c r="AC26" s="4" t="s">
        <v>201</v>
      </c>
      <c r="AD26" s="4" t="str">
        <f t="shared" si="2"/>
        <v>LS72_23</v>
      </c>
      <c r="AE26" s="57">
        <v>45777.496527777781</v>
      </c>
      <c r="AF26" s="62">
        <v>45780.513194444444</v>
      </c>
      <c r="AG26" s="57">
        <v>45792</v>
      </c>
      <c r="AH26" s="81">
        <v>390</v>
      </c>
      <c r="AJ26" s="36" t="s">
        <v>6</v>
      </c>
      <c r="AK26" s="37" t="s">
        <v>5</v>
      </c>
      <c r="AL26" s="37" t="s">
        <v>36</v>
      </c>
      <c r="AM26" s="37">
        <v>2</v>
      </c>
      <c r="AN26" s="38" t="str">
        <f t="shared" si="6"/>
        <v>LOM-SKY-0hr-rep2</v>
      </c>
      <c r="AO26" s="62">
        <v>45777.496527777781</v>
      </c>
      <c r="AP26" s="62">
        <v>45777.496527777781</v>
      </c>
      <c r="AR26" s="9" t="s">
        <v>2</v>
      </c>
      <c r="AS26" s="2" t="s">
        <v>5</v>
      </c>
      <c r="AT26" s="2" t="s">
        <v>43</v>
      </c>
      <c r="AU26" s="2">
        <v>12</v>
      </c>
      <c r="AV26" s="10" t="str">
        <f t="shared" si="15"/>
        <v>JCR-SKY-0.5hr-12</v>
      </c>
      <c r="AX26" s="25" t="s">
        <v>6</v>
      </c>
      <c r="AY26" s="4" t="s">
        <v>5</v>
      </c>
      <c r="AZ26" s="4" t="s">
        <v>25</v>
      </c>
      <c r="BA26" s="26" t="str">
        <f t="shared" si="14"/>
        <v>LOM-SKY-6h</v>
      </c>
    </row>
    <row r="27" spans="1:53" x14ac:dyDescent="0.2">
      <c r="A27" s="39">
        <v>24</v>
      </c>
      <c r="B27" s="9" t="s">
        <v>2</v>
      </c>
      <c r="C27" s="2" t="s">
        <v>5</v>
      </c>
      <c r="D27" s="2" t="s">
        <v>21</v>
      </c>
      <c r="E27" s="2">
        <v>24</v>
      </c>
      <c r="F27" s="10" t="str">
        <f t="shared" si="10"/>
        <v>LS-JCR-SKY-VAPOR-24hr</v>
      </c>
      <c r="G27" s="2" t="s">
        <v>276</v>
      </c>
      <c r="H27" s="2"/>
      <c r="I27" s="2"/>
      <c r="K27" s="2" t="str">
        <f t="shared" si="12"/>
        <v>LS-JCR-SKY-VAPOR-24hr-d2H</v>
      </c>
      <c r="M27" s="25" t="s">
        <v>6</v>
      </c>
      <c r="N27" s="4" t="s">
        <v>3</v>
      </c>
      <c r="O27" s="4" t="s">
        <v>32</v>
      </c>
      <c r="P27" s="4">
        <v>3</v>
      </c>
      <c r="Q27" s="26" t="str">
        <f t="shared" si="13"/>
        <v>CUE-LOM-ROS-24hr-3</v>
      </c>
      <c r="R27" s="57">
        <v>45782.5</v>
      </c>
      <c r="S27" s="57">
        <v>45783.5</v>
      </c>
      <c r="T27" s="57"/>
      <c r="V27" s="29" t="s">
        <v>120</v>
      </c>
      <c r="X27" s="27" t="s">
        <v>6</v>
      </c>
      <c r="Y27" s="28" t="s">
        <v>5</v>
      </c>
      <c r="Z27" s="28" t="s">
        <v>37</v>
      </c>
      <c r="AA27" s="28">
        <v>3</v>
      </c>
      <c r="AB27" s="29" t="str">
        <f t="shared" si="1"/>
        <v>LOM-SKY-72hr-3</v>
      </c>
      <c r="AC27" s="4" t="s">
        <v>202</v>
      </c>
      <c r="AD27" s="4" t="str">
        <f t="shared" si="2"/>
        <v>LS73_24</v>
      </c>
      <c r="AE27" s="57">
        <v>45777.496527777781</v>
      </c>
      <c r="AF27" s="62">
        <v>45780.513194444444</v>
      </c>
      <c r="AG27" s="57">
        <v>45792</v>
      </c>
      <c r="AH27" s="81">
        <v>540</v>
      </c>
      <c r="AJ27" s="30" t="s">
        <v>6</v>
      </c>
      <c r="AK27" s="31" t="s">
        <v>5</v>
      </c>
      <c r="AL27" s="31" t="s">
        <v>36</v>
      </c>
      <c r="AM27" s="31">
        <v>3</v>
      </c>
      <c r="AN27" s="32" t="str">
        <f t="shared" si="6"/>
        <v>LOM-SKY-0hr-rep3</v>
      </c>
      <c r="AO27" s="62">
        <v>45777.496527777781</v>
      </c>
      <c r="AP27" s="62">
        <v>45777.496527777781</v>
      </c>
      <c r="AR27" s="11" t="s">
        <v>2</v>
      </c>
      <c r="AS27" s="12" t="s">
        <v>5</v>
      </c>
      <c r="AT27" s="12" t="s">
        <v>43</v>
      </c>
      <c r="AU27" s="12">
        <v>15</v>
      </c>
      <c r="AV27" s="13" t="str">
        <f t="shared" si="15"/>
        <v>JCR-SKY-0.5hr-15</v>
      </c>
      <c r="AX27" s="25" t="s">
        <v>6</v>
      </c>
      <c r="AY27" s="4" t="s">
        <v>3</v>
      </c>
      <c r="AZ27" s="4" t="s">
        <v>26</v>
      </c>
      <c r="BA27" s="26" t="str">
        <f t="shared" si="14"/>
        <v>LOM-ROS-24h</v>
      </c>
    </row>
    <row r="28" spans="1:53" x14ac:dyDescent="0.2">
      <c r="A28" s="39">
        <v>25</v>
      </c>
      <c r="B28" s="9" t="s">
        <v>2</v>
      </c>
      <c r="C28" s="2" t="s">
        <v>5</v>
      </c>
      <c r="D28" s="2" t="s">
        <v>21</v>
      </c>
      <c r="E28" s="2">
        <v>48</v>
      </c>
      <c r="F28" s="10" t="str">
        <f t="shared" si="10"/>
        <v>LS-JCR-SKY-VAPOR-48hr</v>
      </c>
      <c r="G28" s="2" t="s">
        <v>277</v>
      </c>
      <c r="H28" s="2"/>
      <c r="I28" s="2"/>
      <c r="K28" s="2" t="str">
        <f t="shared" si="12"/>
        <v>LS-JCR-SKY-VAPOR-48hr-d2H</v>
      </c>
      <c r="M28" s="25" t="s">
        <v>6</v>
      </c>
      <c r="N28" s="4" t="s">
        <v>3</v>
      </c>
      <c r="O28" s="4" t="s">
        <v>37</v>
      </c>
      <c r="P28" s="4">
        <v>1</v>
      </c>
      <c r="Q28" s="26" t="str">
        <f t="shared" ref="Q28:Q39" si="16">_xlfn.CONCAT("CUE-",M28,"-",N28,"-",O28,"-",P28)</f>
        <v>CUE-LOM-ROS-72hr-1</v>
      </c>
      <c r="R28" s="57">
        <v>45782.5</v>
      </c>
      <c r="S28" s="57">
        <v>45785.5</v>
      </c>
      <c r="T28" s="57"/>
      <c r="X28" s="75"/>
      <c r="Y28" s="75"/>
      <c r="Z28" s="75"/>
      <c r="AA28" s="75"/>
      <c r="AB28" s="75" t="s">
        <v>173</v>
      </c>
      <c r="AC28" s="75" t="s">
        <v>203</v>
      </c>
      <c r="AD28" s="75" t="str">
        <f t="shared" si="2"/>
        <v>B1_25</v>
      </c>
      <c r="AE28" s="75" t="s">
        <v>34</v>
      </c>
      <c r="AF28" s="75" t="s">
        <v>34</v>
      </c>
      <c r="AG28" s="76">
        <v>45792</v>
      </c>
      <c r="AH28" s="82" t="s">
        <v>205</v>
      </c>
      <c r="AJ28" s="22" t="s">
        <v>6</v>
      </c>
      <c r="AK28" s="23" t="s">
        <v>3</v>
      </c>
      <c r="AL28" s="23" t="s">
        <v>32</v>
      </c>
      <c r="AM28" s="23">
        <v>1</v>
      </c>
      <c r="AN28" s="24" t="str">
        <f t="shared" si="6"/>
        <v>LOM-ROS-24hr-rep1</v>
      </c>
      <c r="AO28" s="65">
        <v>45778.527777777781</v>
      </c>
      <c r="AP28" s="65">
        <v>45779.527083333334</v>
      </c>
      <c r="AR28" s="6" t="s">
        <v>2</v>
      </c>
      <c r="AS28" s="7" t="s">
        <v>3</v>
      </c>
      <c r="AT28" s="7" t="s">
        <v>24</v>
      </c>
      <c r="AU28" s="7">
        <v>1</v>
      </c>
      <c r="AV28" s="8" t="str">
        <f>_xlfn.CONCAT(AR28,"-",AS28,"-",AT28,"-",AU28)</f>
        <v>JCR-ROS-1h-1</v>
      </c>
      <c r="AX28" s="27" t="s">
        <v>6</v>
      </c>
      <c r="AY28" s="28" t="s">
        <v>3</v>
      </c>
      <c r="AZ28" s="28" t="s">
        <v>27</v>
      </c>
      <c r="BA28" s="29" t="str">
        <f t="shared" si="14"/>
        <v>LOM-ROS-48h</v>
      </c>
    </row>
    <row r="29" spans="1:53" x14ac:dyDescent="0.2">
      <c r="A29" s="39">
        <v>26</v>
      </c>
      <c r="B29" s="11" t="s">
        <v>2</v>
      </c>
      <c r="C29" s="12" t="s">
        <v>5</v>
      </c>
      <c r="D29" s="12" t="s">
        <v>21</v>
      </c>
      <c r="E29" s="12">
        <v>72</v>
      </c>
      <c r="F29" s="13" t="str">
        <f t="shared" si="10"/>
        <v>LS-JCR-SKY-VAPOR-72hr</v>
      </c>
      <c r="G29" s="2" t="s">
        <v>278</v>
      </c>
      <c r="H29" s="2"/>
      <c r="I29" s="2"/>
      <c r="K29" s="2" t="str">
        <f t="shared" si="12"/>
        <v>LS-JCR-SKY-VAPOR-72hr-d2H</v>
      </c>
      <c r="M29" s="25" t="s">
        <v>6</v>
      </c>
      <c r="N29" s="4" t="s">
        <v>3</v>
      </c>
      <c r="O29" s="4" t="s">
        <v>37</v>
      </c>
      <c r="P29" s="4">
        <v>2</v>
      </c>
      <c r="Q29" s="26" t="str">
        <f t="shared" si="16"/>
        <v>CUE-LOM-ROS-72hr-2</v>
      </c>
      <c r="R29" s="57">
        <v>45782.5</v>
      </c>
      <c r="S29" s="57">
        <v>45785.5</v>
      </c>
      <c r="T29" s="57"/>
      <c r="X29" s="75"/>
      <c r="Y29" s="75"/>
      <c r="Z29" s="75"/>
      <c r="AA29" s="75"/>
      <c r="AB29" s="75" t="s">
        <v>174</v>
      </c>
      <c r="AC29" s="75" t="s">
        <v>204</v>
      </c>
      <c r="AD29" s="75" t="str">
        <f t="shared" si="2"/>
        <v>B2_26</v>
      </c>
      <c r="AE29" s="75" t="s">
        <v>34</v>
      </c>
      <c r="AF29" s="75" t="s">
        <v>34</v>
      </c>
      <c r="AG29" s="76">
        <v>45792</v>
      </c>
      <c r="AH29" s="82" t="s">
        <v>205</v>
      </c>
      <c r="AJ29" s="25" t="s">
        <v>6</v>
      </c>
      <c r="AK29" s="4" t="s">
        <v>3</v>
      </c>
      <c r="AL29" s="4" t="s">
        <v>32</v>
      </c>
      <c r="AM29" s="4">
        <v>2</v>
      </c>
      <c r="AN29" s="26" t="str">
        <f t="shared" si="6"/>
        <v>LOM-ROS-24hr-rep2</v>
      </c>
      <c r="AO29" s="65">
        <v>45778.527777777781</v>
      </c>
      <c r="AP29" s="65">
        <v>45779.527083333334</v>
      </c>
      <c r="AR29" s="9" t="s">
        <v>2</v>
      </c>
      <c r="AS29" s="2" t="s">
        <v>3</v>
      </c>
      <c r="AT29" s="2" t="s">
        <v>24</v>
      </c>
      <c r="AU29" s="2">
        <v>2</v>
      </c>
      <c r="AV29" s="10" t="str">
        <f t="shared" ref="AV29:AV33" si="17">_xlfn.CONCAT(AR29,"-",AS29,"-",AT29,"-",AU29)</f>
        <v>JCR-ROS-1h-2</v>
      </c>
    </row>
    <row r="30" spans="1:53" x14ac:dyDescent="0.2">
      <c r="A30" s="39">
        <v>27</v>
      </c>
      <c r="B30" s="22" t="s">
        <v>6</v>
      </c>
      <c r="C30" s="23" t="s">
        <v>3</v>
      </c>
      <c r="D30" s="23" t="s">
        <v>4</v>
      </c>
      <c r="E30" s="23">
        <v>0</v>
      </c>
      <c r="F30" s="4" t="str">
        <f>_xlfn.CONCAT("LS","-",B30,"-",C30,"-",D30,"-",E30,"hr")</f>
        <v>LS-LOM-ROS-WET-0hr</v>
      </c>
      <c r="G30" s="4" t="s">
        <v>238</v>
      </c>
      <c r="H30" s="84">
        <v>45810</v>
      </c>
      <c r="I30" s="84">
        <v>45815</v>
      </c>
      <c r="K30" s="4" t="s">
        <v>34</v>
      </c>
      <c r="M30" s="27" t="s">
        <v>6</v>
      </c>
      <c r="N30" s="28" t="s">
        <v>3</v>
      </c>
      <c r="O30" s="28" t="s">
        <v>37</v>
      </c>
      <c r="P30" s="28">
        <v>3</v>
      </c>
      <c r="Q30" s="29" t="str">
        <f t="shared" si="16"/>
        <v>CUE-LOM-ROS-72hr-3</v>
      </c>
      <c r="R30" s="57">
        <v>45782.5</v>
      </c>
      <c r="S30" s="57">
        <v>45785.5</v>
      </c>
      <c r="T30" s="57"/>
      <c r="AJ30" s="30" t="s">
        <v>6</v>
      </c>
      <c r="AK30" s="31" t="s">
        <v>3</v>
      </c>
      <c r="AL30" s="31" t="s">
        <v>32</v>
      </c>
      <c r="AM30" s="31">
        <v>3</v>
      </c>
      <c r="AN30" s="32" t="str">
        <f t="shared" si="6"/>
        <v>LOM-ROS-24hr-rep3</v>
      </c>
      <c r="AO30" s="65">
        <v>45778.527777777781</v>
      </c>
      <c r="AP30" s="65">
        <v>45779.527083333334</v>
      </c>
      <c r="AR30" s="9" t="s">
        <v>2</v>
      </c>
      <c r="AS30" s="2" t="s">
        <v>3</v>
      </c>
      <c r="AT30" s="2" t="s">
        <v>24</v>
      </c>
      <c r="AU30" s="2">
        <v>3</v>
      </c>
      <c r="AV30" s="10" t="str">
        <f t="shared" si="17"/>
        <v>JCR-ROS-1h-3</v>
      </c>
    </row>
    <row r="31" spans="1:53" x14ac:dyDescent="0.2">
      <c r="A31" s="39">
        <v>28</v>
      </c>
      <c r="B31" s="25" t="s">
        <v>6</v>
      </c>
      <c r="C31" s="4" t="s">
        <v>3</v>
      </c>
      <c r="D31" s="4" t="s">
        <v>4</v>
      </c>
      <c r="E31" s="4">
        <v>1</v>
      </c>
      <c r="F31" s="26" t="str">
        <f>_xlfn.CONCAT("LS","-",B31,"-",C31,"-",D31,"-",E31,"hr")</f>
        <v>LS-LOM-ROS-WET-1hr</v>
      </c>
      <c r="G31" s="4" t="s">
        <v>240</v>
      </c>
      <c r="H31" s="84">
        <v>45811</v>
      </c>
      <c r="I31" s="84">
        <v>45815</v>
      </c>
      <c r="K31" s="4" t="str">
        <f t="shared" ref="K31:K42" si="18">_xlfn.CONCAT(F31, "-d2H")</f>
        <v>LS-LOM-ROS-WET-1hr-d2H</v>
      </c>
      <c r="M31" s="22" t="s">
        <v>6</v>
      </c>
      <c r="N31" s="23" t="s">
        <v>5</v>
      </c>
      <c r="O31" s="23" t="s">
        <v>36</v>
      </c>
      <c r="P31" s="23">
        <v>1</v>
      </c>
      <c r="Q31" s="24" t="str">
        <f t="shared" si="16"/>
        <v>CUE-LOM-SKY-0hr-1</v>
      </c>
      <c r="R31" s="57">
        <v>45782.5</v>
      </c>
      <c r="S31" s="57">
        <v>45782.5</v>
      </c>
      <c r="T31" s="57"/>
      <c r="AJ31" s="33" t="s">
        <v>6</v>
      </c>
      <c r="AK31" s="34" t="s">
        <v>5</v>
      </c>
      <c r="AL31" s="34" t="s">
        <v>32</v>
      </c>
      <c r="AM31" s="34">
        <v>1</v>
      </c>
      <c r="AN31" s="35" t="str">
        <f t="shared" si="6"/>
        <v>LOM-SKY-24hr-rep1</v>
      </c>
      <c r="AO31" s="65">
        <v>45778.527777777781</v>
      </c>
      <c r="AP31" s="65">
        <v>45779.527083333334</v>
      </c>
      <c r="AR31" s="9" t="s">
        <v>2</v>
      </c>
      <c r="AS31" s="2" t="s">
        <v>3</v>
      </c>
      <c r="AT31" s="2" t="s">
        <v>24</v>
      </c>
      <c r="AU31" s="2">
        <v>8</v>
      </c>
      <c r="AV31" s="10" t="str">
        <f t="shared" si="17"/>
        <v>JCR-ROS-1h-8</v>
      </c>
    </row>
    <row r="32" spans="1:53" x14ac:dyDescent="0.2">
      <c r="A32" s="39">
        <v>29</v>
      </c>
      <c r="B32" s="25" t="s">
        <v>6</v>
      </c>
      <c r="C32" s="4" t="s">
        <v>3</v>
      </c>
      <c r="D32" s="4" t="s">
        <v>4</v>
      </c>
      <c r="E32" s="4">
        <v>3</v>
      </c>
      <c r="F32" s="26" t="str">
        <f t="shared" ref="F32:F55" si="19">_xlfn.CONCAT("LS","-",B32,"-",C32,"-",D32,"-",E32,"hr")</f>
        <v>LS-LOM-ROS-WET-3hr</v>
      </c>
      <c r="G32" s="4" t="s">
        <v>244</v>
      </c>
      <c r="H32" s="84">
        <v>45811</v>
      </c>
      <c r="I32" s="84">
        <v>45815</v>
      </c>
      <c r="K32" s="4" t="str">
        <f t="shared" si="18"/>
        <v>LS-LOM-ROS-WET-3hr-d2H</v>
      </c>
      <c r="M32" s="25" t="s">
        <v>6</v>
      </c>
      <c r="N32" s="4" t="s">
        <v>5</v>
      </c>
      <c r="O32" s="4" t="s">
        <v>36</v>
      </c>
      <c r="P32" s="4">
        <v>2</v>
      </c>
      <c r="Q32" s="26" t="str">
        <f t="shared" si="16"/>
        <v>CUE-LOM-SKY-0hr-2</v>
      </c>
      <c r="R32" s="57">
        <v>45782.5</v>
      </c>
      <c r="S32" s="57">
        <v>45782.5</v>
      </c>
      <c r="T32" s="57"/>
      <c r="AJ32" s="36" t="s">
        <v>6</v>
      </c>
      <c r="AK32" s="37" t="s">
        <v>5</v>
      </c>
      <c r="AL32" s="37" t="s">
        <v>32</v>
      </c>
      <c r="AM32" s="37">
        <v>2</v>
      </c>
      <c r="AN32" s="38" t="str">
        <f t="shared" si="6"/>
        <v>LOM-SKY-24hr-rep2</v>
      </c>
      <c r="AO32" s="65">
        <v>45778.527777777781</v>
      </c>
      <c r="AP32" s="65">
        <v>45779.527083333334</v>
      </c>
      <c r="AR32" s="9" t="s">
        <v>2</v>
      </c>
      <c r="AS32" s="2" t="s">
        <v>3</v>
      </c>
      <c r="AT32" s="2" t="s">
        <v>24</v>
      </c>
      <c r="AU32" s="2">
        <v>12</v>
      </c>
      <c r="AV32" s="10" t="str">
        <f t="shared" si="17"/>
        <v>JCR-ROS-1h-12</v>
      </c>
    </row>
    <row r="33" spans="1:48" x14ac:dyDescent="0.2">
      <c r="A33" s="39">
        <v>30</v>
      </c>
      <c r="B33" s="25" t="s">
        <v>6</v>
      </c>
      <c r="C33" s="4" t="s">
        <v>3</v>
      </c>
      <c r="D33" s="4" t="s">
        <v>4</v>
      </c>
      <c r="E33" s="4">
        <v>6</v>
      </c>
      <c r="F33" s="26" t="str">
        <f>_xlfn.CONCAT("LS","-",B33,"-",C33,"-",D33,"-",E33,"hr")</f>
        <v>LS-LOM-ROS-WET-6hr</v>
      </c>
      <c r="G33" s="4" t="s">
        <v>248</v>
      </c>
      <c r="H33" s="84">
        <v>45812</v>
      </c>
      <c r="I33" s="84">
        <v>45815</v>
      </c>
      <c r="K33" s="4" t="str">
        <f t="shared" si="18"/>
        <v>LS-LOM-ROS-WET-6hr-d2H</v>
      </c>
      <c r="M33" s="25" t="s">
        <v>6</v>
      </c>
      <c r="N33" s="4" t="s">
        <v>5</v>
      </c>
      <c r="O33" s="4" t="s">
        <v>36</v>
      </c>
      <c r="P33" s="4">
        <v>3</v>
      </c>
      <c r="Q33" s="26" t="str">
        <f t="shared" si="16"/>
        <v>CUE-LOM-SKY-0hr-3</v>
      </c>
      <c r="R33" s="57">
        <v>45782.5</v>
      </c>
      <c r="S33" s="57">
        <v>45782.5</v>
      </c>
      <c r="T33" s="57"/>
      <c r="AJ33" s="30" t="s">
        <v>6</v>
      </c>
      <c r="AK33" s="31" t="s">
        <v>5</v>
      </c>
      <c r="AL33" s="31" t="s">
        <v>32</v>
      </c>
      <c r="AM33" s="31">
        <v>3</v>
      </c>
      <c r="AN33" s="32" t="str">
        <f t="shared" si="6"/>
        <v>LOM-SKY-24hr-rep3</v>
      </c>
      <c r="AO33" s="65">
        <v>45778.527777777781</v>
      </c>
      <c r="AP33" s="65">
        <v>45779.527083333334</v>
      </c>
      <c r="AR33" s="11" t="s">
        <v>2</v>
      </c>
      <c r="AS33" s="12" t="s">
        <v>3</v>
      </c>
      <c r="AT33" s="12" t="s">
        <v>24</v>
      </c>
      <c r="AU33" s="12">
        <v>15</v>
      </c>
      <c r="AV33" s="13" t="str">
        <f t="shared" si="17"/>
        <v>JCR-ROS-1h-15</v>
      </c>
    </row>
    <row r="34" spans="1:48" x14ac:dyDescent="0.2">
      <c r="A34" s="39">
        <v>31</v>
      </c>
      <c r="B34" s="25" t="s">
        <v>6</v>
      </c>
      <c r="C34" s="4" t="s">
        <v>3</v>
      </c>
      <c r="D34" s="4" t="s">
        <v>4</v>
      </c>
      <c r="E34" s="4">
        <v>24</v>
      </c>
      <c r="F34" s="26" t="str">
        <f t="shared" si="19"/>
        <v>LS-LOM-ROS-WET-24hr</v>
      </c>
      <c r="G34" s="4" t="s">
        <v>252</v>
      </c>
      <c r="H34" s="84">
        <v>45813</v>
      </c>
      <c r="I34" s="84">
        <v>45815</v>
      </c>
      <c r="K34" s="4" t="str">
        <f t="shared" si="18"/>
        <v>LS-LOM-ROS-WET-24hr-d2H</v>
      </c>
      <c r="M34" s="25" t="s">
        <v>6</v>
      </c>
      <c r="N34" s="4" t="s">
        <v>5</v>
      </c>
      <c r="O34" s="4" t="s">
        <v>32</v>
      </c>
      <c r="P34" s="4">
        <v>1</v>
      </c>
      <c r="Q34" s="26" t="str">
        <f t="shared" si="16"/>
        <v>CUE-LOM-SKY-24hr-1</v>
      </c>
      <c r="R34" s="57">
        <v>45782.5</v>
      </c>
      <c r="S34" s="57">
        <v>45783.5</v>
      </c>
      <c r="T34" s="57"/>
      <c r="AJ34" s="33" t="s">
        <v>6</v>
      </c>
      <c r="AK34" s="34" t="s">
        <v>3</v>
      </c>
      <c r="AL34" s="34" t="s">
        <v>37</v>
      </c>
      <c r="AM34" s="34">
        <v>1</v>
      </c>
      <c r="AN34" s="35" t="str">
        <f t="shared" si="6"/>
        <v>LOM-ROS-72hr-rep1</v>
      </c>
      <c r="AO34" s="62">
        <v>45777.496527777781</v>
      </c>
      <c r="AP34" s="62">
        <v>45780.513194444444</v>
      </c>
      <c r="AR34" s="6" t="s">
        <v>2</v>
      </c>
      <c r="AS34" s="7" t="s">
        <v>5</v>
      </c>
      <c r="AT34" s="7" t="s">
        <v>24</v>
      </c>
      <c r="AU34" s="7">
        <v>1</v>
      </c>
      <c r="AV34" s="8" t="str">
        <f>_xlfn.CONCAT(AR34,"-",AS34,"-",AT34,"-",AU34)</f>
        <v>JCR-SKY-1h-1</v>
      </c>
    </row>
    <row r="35" spans="1:48" x14ac:dyDescent="0.2">
      <c r="A35" s="39">
        <v>32</v>
      </c>
      <c r="B35" s="25" t="s">
        <v>6</v>
      </c>
      <c r="C35" s="4" t="s">
        <v>3</v>
      </c>
      <c r="D35" s="4" t="s">
        <v>4</v>
      </c>
      <c r="E35" s="4">
        <v>48</v>
      </c>
      <c r="F35" s="26" t="str">
        <f t="shared" si="19"/>
        <v>LS-LOM-ROS-WET-48hr</v>
      </c>
      <c r="G35" s="4" t="s">
        <v>257</v>
      </c>
      <c r="H35" s="84">
        <v>45813</v>
      </c>
      <c r="I35" s="84">
        <v>45815</v>
      </c>
      <c r="K35" s="4" t="str">
        <f t="shared" si="18"/>
        <v>LS-LOM-ROS-WET-48hr-d2H</v>
      </c>
      <c r="M35" s="25" t="s">
        <v>6</v>
      </c>
      <c r="N35" s="4" t="s">
        <v>5</v>
      </c>
      <c r="O35" s="4" t="s">
        <v>32</v>
      </c>
      <c r="P35" s="4">
        <v>2</v>
      </c>
      <c r="Q35" s="26" t="str">
        <f t="shared" si="16"/>
        <v>CUE-LOM-SKY-24hr-2</v>
      </c>
      <c r="R35" s="57">
        <v>45782.5</v>
      </c>
      <c r="S35" s="57">
        <v>45783.5</v>
      </c>
      <c r="T35" s="57"/>
      <c r="AJ35" s="36" t="s">
        <v>6</v>
      </c>
      <c r="AK35" s="37" t="s">
        <v>3</v>
      </c>
      <c r="AL35" s="37" t="s">
        <v>37</v>
      </c>
      <c r="AM35" s="37">
        <v>2</v>
      </c>
      <c r="AN35" s="38" t="str">
        <f t="shared" si="6"/>
        <v>LOM-ROS-72hr-rep2</v>
      </c>
      <c r="AO35" s="62">
        <v>45777.496527777781</v>
      </c>
      <c r="AP35" s="62">
        <v>45780.513194444444</v>
      </c>
      <c r="AR35" s="9" t="s">
        <v>2</v>
      </c>
      <c r="AS35" s="2" t="s">
        <v>5</v>
      </c>
      <c r="AT35" s="2" t="s">
        <v>24</v>
      </c>
      <c r="AU35" s="2">
        <v>2</v>
      </c>
      <c r="AV35" s="10" t="str">
        <f t="shared" ref="AV35:AV39" si="20">_xlfn.CONCAT(AR35,"-",AS35,"-",AT35,"-",AU35)</f>
        <v>JCR-SKY-1h-2</v>
      </c>
    </row>
    <row r="36" spans="1:48" x14ac:dyDescent="0.2">
      <c r="A36" s="39">
        <v>33</v>
      </c>
      <c r="B36" s="27" t="s">
        <v>6</v>
      </c>
      <c r="C36" s="28" t="s">
        <v>3</v>
      </c>
      <c r="D36" s="28" t="s">
        <v>4</v>
      </c>
      <c r="E36" s="28">
        <v>72</v>
      </c>
      <c r="F36" s="29" t="str">
        <f t="shared" si="19"/>
        <v>LS-LOM-ROS-WET-72hr</v>
      </c>
      <c r="G36" s="4" t="s">
        <v>261</v>
      </c>
      <c r="H36" s="84">
        <v>45814</v>
      </c>
      <c r="I36" s="84">
        <v>45815</v>
      </c>
      <c r="K36" s="4" t="str">
        <f t="shared" si="18"/>
        <v>LS-LOM-ROS-WET-72hr-d2H</v>
      </c>
      <c r="M36" s="25" t="s">
        <v>6</v>
      </c>
      <c r="N36" s="4" t="s">
        <v>5</v>
      </c>
      <c r="O36" s="4" t="s">
        <v>32</v>
      </c>
      <c r="P36" s="4">
        <v>3</v>
      </c>
      <c r="Q36" s="26" t="str">
        <f t="shared" si="16"/>
        <v>CUE-LOM-SKY-24hr-3</v>
      </c>
      <c r="R36" s="57">
        <v>45782.5</v>
      </c>
      <c r="S36" s="57">
        <v>45783.5</v>
      </c>
      <c r="T36" s="57"/>
      <c r="AJ36" s="30" t="s">
        <v>6</v>
      </c>
      <c r="AK36" s="31" t="s">
        <v>3</v>
      </c>
      <c r="AL36" s="31" t="s">
        <v>37</v>
      </c>
      <c r="AM36" s="31">
        <v>3</v>
      </c>
      <c r="AN36" s="32" t="str">
        <f t="shared" si="6"/>
        <v>LOM-ROS-72hr-rep3</v>
      </c>
      <c r="AO36" s="62">
        <v>45777.496527777781</v>
      </c>
      <c r="AP36" s="62">
        <v>45780.513194444444</v>
      </c>
      <c r="AR36" s="9" t="s">
        <v>2</v>
      </c>
      <c r="AS36" s="2" t="s">
        <v>5</v>
      </c>
      <c r="AT36" s="2" t="s">
        <v>24</v>
      </c>
      <c r="AU36" s="2">
        <v>3</v>
      </c>
      <c r="AV36" s="10" t="str">
        <f t="shared" si="20"/>
        <v>JCR-SKY-1h-3</v>
      </c>
    </row>
    <row r="37" spans="1:48" x14ac:dyDescent="0.2">
      <c r="A37" s="39">
        <v>34</v>
      </c>
      <c r="B37" s="25" t="s">
        <v>6</v>
      </c>
      <c r="C37" s="4" t="s">
        <v>3</v>
      </c>
      <c r="D37" s="4" t="s">
        <v>21</v>
      </c>
      <c r="E37" s="4">
        <v>1</v>
      </c>
      <c r="F37" s="26" t="str">
        <f t="shared" si="19"/>
        <v>LS-LOM-ROS-VAPOR-1hr</v>
      </c>
      <c r="G37" s="4" t="s">
        <v>279</v>
      </c>
      <c r="H37" s="4"/>
      <c r="I37" s="4"/>
      <c r="K37" s="4" t="str">
        <f t="shared" si="18"/>
        <v>LS-LOM-ROS-VAPOR-1hr-d2H</v>
      </c>
      <c r="M37" s="25" t="s">
        <v>6</v>
      </c>
      <c r="N37" s="4" t="s">
        <v>5</v>
      </c>
      <c r="O37" s="4" t="s">
        <v>37</v>
      </c>
      <c r="P37" s="4">
        <v>1</v>
      </c>
      <c r="Q37" s="26" t="str">
        <f t="shared" si="16"/>
        <v>CUE-LOM-SKY-72hr-1</v>
      </c>
      <c r="R37" s="57">
        <v>45782.5</v>
      </c>
      <c r="S37" s="57">
        <v>45785.5</v>
      </c>
      <c r="T37" s="57"/>
      <c r="AJ37" s="22" t="s">
        <v>6</v>
      </c>
      <c r="AK37" s="23" t="s">
        <v>5</v>
      </c>
      <c r="AL37" s="23" t="s">
        <v>37</v>
      </c>
      <c r="AM37" s="23">
        <v>1</v>
      </c>
      <c r="AN37" s="24" t="str">
        <f t="shared" si="6"/>
        <v>LOM-SKY-72hr-rep1</v>
      </c>
      <c r="AO37" s="62">
        <v>45777.496527777781</v>
      </c>
      <c r="AP37" s="62">
        <v>45780.513194444444</v>
      </c>
      <c r="AR37" s="9" t="s">
        <v>2</v>
      </c>
      <c r="AS37" s="2" t="s">
        <v>5</v>
      </c>
      <c r="AT37" s="2" t="s">
        <v>24</v>
      </c>
      <c r="AU37" s="2">
        <v>8</v>
      </c>
      <c r="AV37" s="10" t="str">
        <f t="shared" si="20"/>
        <v>JCR-SKY-1h-8</v>
      </c>
    </row>
    <row r="38" spans="1:48" x14ac:dyDescent="0.2">
      <c r="A38" s="39">
        <v>35</v>
      </c>
      <c r="B38" s="25" t="s">
        <v>6</v>
      </c>
      <c r="C38" s="4" t="s">
        <v>3</v>
      </c>
      <c r="D38" s="4" t="s">
        <v>21</v>
      </c>
      <c r="E38" s="4">
        <v>3</v>
      </c>
      <c r="F38" s="26" t="str">
        <f t="shared" si="19"/>
        <v>LS-LOM-ROS-VAPOR-3hr</v>
      </c>
      <c r="G38" s="4" t="s">
        <v>280</v>
      </c>
      <c r="H38" s="4"/>
      <c r="I38" s="4"/>
      <c r="K38" s="4" t="str">
        <f t="shared" si="18"/>
        <v>LS-LOM-ROS-VAPOR-3hr-d2H</v>
      </c>
      <c r="M38" s="25" t="s">
        <v>6</v>
      </c>
      <c r="N38" s="4" t="s">
        <v>5</v>
      </c>
      <c r="O38" s="4" t="s">
        <v>37</v>
      </c>
      <c r="P38" s="4">
        <v>2</v>
      </c>
      <c r="Q38" s="26" t="str">
        <f t="shared" si="16"/>
        <v>CUE-LOM-SKY-72hr-2</v>
      </c>
      <c r="R38" s="57">
        <v>45782.5</v>
      </c>
      <c r="S38" s="57">
        <v>45785.5</v>
      </c>
      <c r="T38" s="57"/>
      <c r="AJ38" s="25" t="s">
        <v>6</v>
      </c>
      <c r="AK38" s="4" t="s">
        <v>5</v>
      </c>
      <c r="AL38" s="4" t="s">
        <v>37</v>
      </c>
      <c r="AM38" s="4">
        <v>2</v>
      </c>
      <c r="AN38" s="26" t="str">
        <f t="shared" si="6"/>
        <v>LOM-SKY-72hr-rep2</v>
      </c>
      <c r="AO38" s="62">
        <v>45777.496527777781</v>
      </c>
      <c r="AP38" s="62">
        <v>45780.513194444444</v>
      </c>
      <c r="AR38" s="9" t="s">
        <v>2</v>
      </c>
      <c r="AS38" s="2" t="s">
        <v>5</v>
      </c>
      <c r="AT38" s="2" t="s">
        <v>24</v>
      </c>
      <c r="AU38" s="2">
        <v>12</v>
      </c>
      <c r="AV38" s="10" t="str">
        <f t="shared" si="20"/>
        <v>JCR-SKY-1h-12</v>
      </c>
    </row>
    <row r="39" spans="1:48" x14ac:dyDescent="0.2">
      <c r="A39" s="39">
        <v>36</v>
      </c>
      <c r="B39" s="25" t="s">
        <v>6</v>
      </c>
      <c r="C39" s="4" t="s">
        <v>3</v>
      </c>
      <c r="D39" s="4" t="s">
        <v>21</v>
      </c>
      <c r="E39" s="4">
        <v>6</v>
      </c>
      <c r="F39" s="26" t="str">
        <f t="shared" si="19"/>
        <v>LS-LOM-ROS-VAPOR-6hr</v>
      </c>
      <c r="G39" s="4" t="s">
        <v>281</v>
      </c>
      <c r="H39" s="4"/>
      <c r="I39" s="4"/>
      <c r="K39" s="4" t="str">
        <f t="shared" si="18"/>
        <v>LS-LOM-ROS-VAPOR-6hr-d2H</v>
      </c>
      <c r="M39" s="27" t="s">
        <v>6</v>
      </c>
      <c r="N39" s="28" t="s">
        <v>5</v>
      </c>
      <c r="O39" s="28" t="s">
        <v>37</v>
      </c>
      <c r="P39" s="28">
        <v>3</v>
      </c>
      <c r="Q39" s="29" t="str">
        <f t="shared" si="16"/>
        <v>CUE-LOM-SKY-72hr-3</v>
      </c>
      <c r="R39" s="57">
        <v>45782.5</v>
      </c>
      <c r="S39" s="57">
        <v>45785.5</v>
      </c>
      <c r="T39" s="57"/>
      <c r="AJ39" s="27" t="s">
        <v>6</v>
      </c>
      <c r="AK39" s="28" t="s">
        <v>5</v>
      </c>
      <c r="AL39" s="28" t="s">
        <v>37</v>
      </c>
      <c r="AM39" s="28">
        <v>3</v>
      </c>
      <c r="AN39" s="29" t="str">
        <f t="shared" si="6"/>
        <v>LOM-SKY-72hr-rep3</v>
      </c>
      <c r="AO39" s="62">
        <v>45777.496527777781</v>
      </c>
      <c r="AP39" s="62">
        <v>45780.513194444444</v>
      </c>
      <c r="AR39" s="11" t="s">
        <v>2</v>
      </c>
      <c r="AS39" s="12" t="s">
        <v>5</v>
      </c>
      <c r="AT39" s="12" t="s">
        <v>24</v>
      </c>
      <c r="AU39" s="12">
        <v>15</v>
      </c>
      <c r="AV39" s="13" t="str">
        <f t="shared" si="20"/>
        <v>JCR-SKY-1h-15</v>
      </c>
    </row>
    <row r="40" spans="1:48" x14ac:dyDescent="0.2">
      <c r="A40" s="39">
        <v>37</v>
      </c>
      <c r="B40" s="25" t="s">
        <v>6</v>
      </c>
      <c r="C40" s="4" t="s">
        <v>3</v>
      </c>
      <c r="D40" s="4" t="s">
        <v>21</v>
      </c>
      <c r="E40" s="4">
        <v>24</v>
      </c>
      <c r="F40" s="26" t="str">
        <f t="shared" si="19"/>
        <v>LS-LOM-ROS-VAPOR-24hr</v>
      </c>
      <c r="G40" s="4" t="s">
        <v>282</v>
      </c>
      <c r="H40" s="4"/>
      <c r="I40" s="4"/>
      <c r="K40" s="4" t="str">
        <f t="shared" si="18"/>
        <v>LS-LOM-ROS-VAPOR-24hr-d2H</v>
      </c>
      <c r="M40" s="71" t="s">
        <v>29</v>
      </c>
      <c r="N40" s="72"/>
      <c r="O40" s="72"/>
      <c r="P40" s="72"/>
      <c r="Q40" s="72"/>
      <c r="R40" s="72"/>
      <c r="S40" s="72"/>
      <c r="T40" s="72"/>
      <c r="AJ40" s="71" t="s">
        <v>173</v>
      </c>
      <c r="AK40" s="72"/>
      <c r="AL40" s="72"/>
      <c r="AM40" s="72"/>
      <c r="AN40" s="72"/>
      <c r="AO40" s="73"/>
      <c r="AP40" s="73"/>
      <c r="AR40" s="6" t="s">
        <v>2</v>
      </c>
      <c r="AS40" s="7" t="s">
        <v>3</v>
      </c>
      <c r="AT40" s="7" t="s">
        <v>25</v>
      </c>
      <c r="AU40" s="7">
        <v>1</v>
      </c>
      <c r="AV40" s="8" t="str">
        <f>_xlfn.CONCAT(AR40,"-",AS40,"-",AT40,"-",AU40)</f>
        <v>JCR-ROS-6h-1</v>
      </c>
    </row>
    <row r="41" spans="1:48" x14ac:dyDescent="0.2">
      <c r="A41" s="39">
        <v>38</v>
      </c>
      <c r="B41" s="25" t="s">
        <v>6</v>
      </c>
      <c r="C41" s="4" t="s">
        <v>3</v>
      </c>
      <c r="D41" s="4" t="s">
        <v>21</v>
      </c>
      <c r="E41" s="4">
        <v>48</v>
      </c>
      <c r="F41" s="26" t="str">
        <f t="shared" si="19"/>
        <v>LS-LOM-ROS-VAPOR-48hr</v>
      </c>
      <c r="G41" s="4" t="s">
        <v>283</v>
      </c>
      <c r="H41" s="4"/>
      <c r="I41" s="4"/>
      <c r="K41" s="4" t="str">
        <f t="shared" si="18"/>
        <v>LS-LOM-ROS-VAPOR-48hr-d2H</v>
      </c>
      <c r="M41" s="71" t="s">
        <v>29</v>
      </c>
      <c r="N41" s="72"/>
      <c r="O41" s="72"/>
      <c r="P41" s="72"/>
      <c r="Q41" s="72"/>
      <c r="R41" s="72"/>
      <c r="S41" s="72"/>
      <c r="T41" s="72"/>
      <c r="AJ41" s="71" t="s">
        <v>174</v>
      </c>
      <c r="AK41" s="72"/>
      <c r="AL41" s="72"/>
      <c r="AM41" s="72"/>
      <c r="AN41" s="72"/>
      <c r="AO41" s="73"/>
      <c r="AP41" s="73"/>
      <c r="AR41" s="9" t="s">
        <v>2</v>
      </c>
      <c r="AS41" s="2" t="s">
        <v>3</v>
      </c>
      <c r="AT41" s="2" t="s">
        <v>25</v>
      </c>
      <c r="AU41" s="2">
        <v>2</v>
      </c>
      <c r="AV41" s="10" t="str">
        <f t="shared" ref="AV41:AV45" si="21">_xlfn.CONCAT(AR41,"-",AS41,"-",AT41,"-",AU41)</f>
        <v>JCR-ROS-6h-2</v>
      </c>
    </row>
    <row r="42" spans="1:48" x14ac:dyDescent="0.2">
      <c r="A42" s="39">
        <v>39</v>
      </c>
      <c r="B42" s="27" t="s">
        <v>6</v>
      </c>
      <c r="C42" s="28" t="s">
        <v>3</v>
      </c>
      <c r="D42" s="28" t="s">
        <v>21</v>
      </c>
      <c r="E42" s="28">
        <v>72</v>
      </c>
      <c r="F42" s="29" t="str">
        <f t="shared" si="19"/>
        <v>LS-LOM-ROS-VAPOR-72hr</v>
      </c>
      <c r="G42" s="4" t="s">
        <v>284</v>
      </c>
      <c r="H42" s="4"/>
      <c r="I42" s="4"/>
      <c r="K42" s="4" t="str">
        <f t="shared" si="18"/>
        <v>LS-LOM-ROS-VAPOR-72hr-d2H</v>
      </c>
      <c r="M42" s="71" t="s">
        <v>29</v>
      </c>
      <c r="N42" s="72"/>
      <c r="O42" s="72"/>
      <c r="P42" s="72"/>
      <c r="Q42" s="72"/>
      <c r="R42" s="72"/>
      <c r="S42" s="72"/>
      <c r="T42" s="72"/>
      <c r="AR42" s="9" t="s">
        <v>2</v>
      </c>
      <c r="AS42" s="2" t="s">
        <v>3</v>
      </c>
      <c r="AT42" s="2" t="s">
        <v>25</v>
      </c>
      <c r="AU42" s="2">
        <v>3</v>
      </c>
      <c r="AV42" s="10" t="str">
        <f t="shared" si="21"/>
        <v>JCR-ROS-6h-3</v>
      </c>
    </row>
    <row r="43" spans="1:48" x14ac:dyDescent="0.2">
      <c r="A43" s="39">
        <v>40</v>
      </c>
      <c r="B43" s="22" t="s">
        <v>6</v>
      </c>
      <c r="C43" s="23" t="s">
        <v>5</v>
      </c>
      <c r="D43" s="23" t="s">
        <v>4</v>
      </c>
      <c r="E43" s="23">
        <v>0</v>
      </c>
      <c r="F43" s="24" t="str">
        <f t="shared" si="19"/>
        <v>LS-LOM-SKY-WET-0hr</v>
      </c>
      <c r="G43" s="4" t="s">
        <v>239</v>
      </c>
      <c r="H43" s="84">
        <v>45810</v>
      </c>
      <c r="I43" s="84">
        <v>45815</v>
      </c>
      <c r="K43" s="4" t="s">
        <v>34</v>
      </c>
      <c r="M43" s="71" t="s">
        <v>29</v>
      </c>
      <c r="N43" s="72"/>
      <c r="O43" s="72"/>
      <c r="P43" s="72"/>
      <c r="Q43" s="72"/>
      <c r="R43" s="72"/>
      <c r="S43" s="72"/>
      <c r="T43" s="72"/>
      <c r="AR43" s="9" t="s">
        <v>2</v>
      </c>
      <c r="AS43" s="2" t="s">
        <v>3</v>
      </c>
      <c r="AT43" s="2" t="s">
        <v>25</v>
      </c>
      <c r="AU43" s="2">
        <v>8</v>
      </c>
      <c r="AV43" s="10" t="str">
        <f t="shared" si="21"/>
        <v>JCR-ROS-6h-8</v>
      </c>
    </row>
    <row r="44" spans="1:48" x14ac:dyDescent="0.2">
      <c r="A44" s="39">
        <v>41</v>
      </c>
      <c r="B44" s="25" t="s">
        <v>6</v>
      </c>
      <c r="C44" s="4" t="s">
        <v>5</v>
      </c>
      <c r="D44" s="4" t="s">
        <v>4</v>
      </c>
      <c r="E44" s="4">
        <v>1</v>
      </c>
      <c r="F44" s="26" t="str">
        <f t="shared" si="19"/>
        <v>LS-LOM-SKY-WET-1hr</v>
      </c>
      <c r="G44" s="4" t="s">
        <v>241</v>
      </c>
      <c r="H44" s="84">
        <v>45811</v>
      </c>
      <c r="I44" s="84">
        <v>45815</v>
      </c>
      <c r="K44" s="4" t="str">
        <f t="shared" ref="K44:K55" si="22">_xlfn.CONCAT(F44, "-d2H")</f>
        <v>LS-LOM-SKY-WET-1hr-d2H</v>
      </c>
      <c r="M44" s="71" t="s">
        <v>29</v>
      </c>
      <c r="N44" s="72"/>
      <c r="O44" s="72"/>
      <c r="P44" s="72"/>
      <c r="Q44" s="72"/>
      <c r="R44" s="72"/>
      <c r="S44" s="72"/>
      <c r="T44" s="72"/>
      <c r="AR44" s="9" t="s">
        <v>2</v>
      </c>
      <c r="AS44" s="2" t="s">
        <v>3</v>
      </c>
      <c r="AT44" s="2" t="s">
        <v>25</v>
      </c>
      <c r="AU44" s="2">
        <v>12</v>
      </c>
      <c r="AV44" s="10" t="str">
        <f t="shared" si="21"/>
        <v>JCR-ROS-6h-12</v>
      </c>
    </row>
    <row r="45" spans="1:48" x14ac:dyDescent="0.2">
      <c r="A45" s="39">
        <v>42</v>
      </c>
      <c r="B45" s="25" t="s">
        <v>6</v>
      </c>
      <c r="C45" s="4" t="s">
        <v>5</v>
      </c>
      <c r="D45" s="4" t="s">
        <v>4</v>
      </c>
      <c r="E45" s="4">
        <v>3</v>
      </c>
      <c r="F45" s="26" t="str">
        <f t="shared" si="19"/>
        <v>LS-LOM-SKY-WET-3hr</v>
      </c>
      <c r="G45" s="4" t="s">
        <v>245</v>
      </c>
      <c r="H45" s="84">
        <v>45811</v>
      </c>
      <c r="I45" s="84">
        <v>45815</v>
      </c>
      <c r="K45" s="4" t="str">
        <f t="shared" si="22"/>
        <v>LS-LOM-SKY-WET-3hr-d2H</v>
      </c>
      <c r="AR45" s="11" t="s">
        <v>2</v>
      </c>
      <c r="AS45" s="12" t="s">
        <v>3</v>
      </c>
      <c r="AT45" s="12" t="s">
        <v>25</v>
      </c>
      <c r="AU45" s="12">
        <v>15</v>
      </c>
      <c r="AV45" s="13" t="str">
        <f t="shared" si="21"/>
        <v>JCR-ROS-6h-15</v>
      </c>
    </row>
    <row r="46" spans="1:48" x14ac:dyDescent="0.2">
      <c r="A46" s="39">
        <v>43</v>
      </c>
      <c r="B46" s="25" t="s">
        <v>6</v>
      </c>
      <c r="C46" s="4" t="s">
        <v>5</v>
      </c>
      <c r="D46" s="4" t="s">
        <v>4</v>
      </c>
      <c r="E46" s="4">
        <v>6</v>
      </c>
      <c r="F46" s="26" t="str">
        <f t="shared" si="19"/>
        <v>LS-LOM-SKY-WET-6hr</v>
      </c>
      <c r="G46" s="4" t="s">
        <v>249</v>
      </c>
      <c r="H46" s="84">
        <v>45812</v>
      </c>
      <c r="I46" s="84">
        <v>45815</v>
      </c>
      <c r="K46" s="4" t="str">
        <f t="shared" si="22"/>
        <v>LS-LOM-SKY-WET-6hr-d2H</v>
      </c>
      <c r="AR46" s="6" t="s">
        <v>2</v>
      </c>
      <c r="AS46" s="7" t="s">
        <v>5</v>
      </c>
      <c r="AT46" s="7" t="s">
        <v>25</v>
      </c>
      <c r="AU46" s="7">
        <v>1</v>
      </c>
      <c r="AV46" s="8" t="str">
        <f>_xlfn.CONCAT(AR46,"-",AS46,"-",AT46,"-",AU46)</f>
        <v>JCR-SKY-6h-1</v>
      </c>
    </row>
    <row r="47" spans="1:48" x14ac:dyDescent="0.2">
      <c r="A47" s="39">
        <v>44</v>
      </c>
      <c r="B47" s="25" t="s">
        <v>6</v>
      </c>
      <c r="C47" s="4" t="s">
        <v>5</v>
      </c>
      <c r="D47" s="4" t="s">
        <v>4</v>
      </c>
      <c r="E47" s="4">
        <v>24</v>
      </c>
      <c r="F47" s="26" t="str">
        <f t="shared" si="19"/>
        <v>LS-LOM-SKY-WET-24hr</v>
      </c>
      <c r="G47" s="4" t="s">
        <v>253</v>
      </c>
      <c r="H47" s="84">
        <v>45813</v>
      </c>
      <c r="I47" s="84">
        <v>45815</v>
      </c>
      <c r="K47" s="4" t="str">
        <f t="shared" si="22"/>
        <v>LS-LOM-SKY-WET-24hr-d2H</v>
      </c>
      <c r="AR47" s="9" t="s">
        <v>2</v>
      </c>
      <c r="AS47" s="2" t="s">
        <v>5</v>
      </c>
      <c r="AT47" s="2" t="s">
        <v>25</v>
      </c>
      <c r="AU47" s="2">
        <v>2</v>
      </c>
      <c r="AV47" s="10" t="str">
        <f t="shared" ref="AV47:AV51" si="23">_xlfn.CONCAT(AR47,"-",AS47,"-",AT47,"-",AU47)</f>
        <v>JCR-SKY-6h-2</v>
      </c>
    </row>
    <row r="48" spans="1:48" x14ac:dyDescent="0.2">
      <c r="A48" s="39">
        <v>45</v>
      </c>
      <c r="B48" s="25" t="s">
        <v>6</v>
      </c>
      <c r="C48" s="4" t="s">
        <v>5</v>
      </c>
      <c r="D48" s="4" t="s">
        <v>4</v>
      </c>
      <c r="E48" s="4">
        <v>48</v>
      </c>
      <c r="F48" s="26" t="str">
        <f t="shared" si="19"/>
        <v>LS-LOM-SKY-WET-48hr</v>
      </c>
      <c r="G48" s="4" t="s">
        <v>254</v>
      </c>
      <c r="H48" s="84">
        <v>45813</v>
      </c>
      <c r="I48" s="84">
        <v>45815</v>
      </c>
      <c r="K48" s="4" t="str">
        <f t="shared" si="22"/>
        <v>LS-LOM-SKY-WET-48hr-d2H</v>
      </c>
      <c r="AR48" s="9" t="s">
        <v>2</v>
      </c>
      <c r="AS48" s="2" t="s">
        <v>5</v>
      </c>
      <c r="AT48" s="2" t="s">
        <v>25</v>
      </c>
      <c r="AU48" s="2">
        <v>3</v>
      </c>
      <c r="AV48" s="10" t="str">
        <f t="shared" si="23"/>
        <v>JCR-SKY-6h-3</v>
      </c>
    </row>
    <row r="49" spans="1:48" x14ac:dyDescent="0.2">
      <c r="A49" s="39">
        <v>46</v>
      </c>
      <c r="B49" s="27" t="s">
        <v>6</v>
      </c>
      <c r="C49" s="28" t="s">
        <v>5</v>
      </c>
      <c r="D49" s="28" t="s">
        <v>4</v>
      </c>
      <c r="E49" s="28">
        <v>72</v>
      </c>
      <c r="F49" s="29" t="str">
        <f t="shared" si="19"/>
        <v>LS-LOM-SKY-WET-72hr</v>
      </c>
      <c r="G49" s="4" t="s">
        <v>262</v>
      </c>
      <c r="H49" s="84">
        <v>45814</v>
      </c>
      <c r="I49" s="84">
        <v>45815</v>
      </c>
      <c r="K49" s="4" t="str">
        <f t="shared" si="22"/>
        <v>LS-LOM-SKY-WET-72hr-d2H</v>
      </c>
      <c r="AR49" s="9" t="s">
        <v>2</v>
      </c>
      <c r="AS49" s="2" t="s">
        <v>5</v>
      </c>
      <c r="AT49" s="2" t="s">
        <v>25</v>
      </c>
      <c r="AU49" s="2">
        <v>8</v>
      </c>
      <c r="AV49" s="10" t="str">
        <f t="shared" si="23"/>
        <v>JCR-SKY-6h-8</v>
      </c>
    </row>
    <row r="50" spans="1:48" x14ac:dyDescent="0.2">
      <c r="A50" s="39">
        <v>47</v>
      </c>
      <c r="B50" s="25" t="s">
        <v>6</v>
      </c>
      <c r="C50" s="4" t="s">
        <v>5</v>
      </c>
      <c r="D50" s="4" t="s">
        <v>21</v>
      </c>
      <c r="E50" s="4">
        <v>1</v>
      </c>
      <c r="F50" s="26" t="str">
        <f t="shared" si="19"/>
        <v>LS-LOM-SKY-VAPOR-1hr</v>
      </c>
      <c r="G50" s="4" t="s">
        <v>285</v>
      </c>
      <c r="H50" s="4"/>
      <c r="I50" s="4"/>
      <c r="K50" s="4" t="str">
        <f t="shared" si="22"/>
        <v>LS-LOM-SKY-VAPOR-1hr-d2H</v>
      </c>
      <c r="AR50" s="9" t="s">
        <v>2</v>
      </c>
      <c r="AS50" s="2" t="s">
        <v>5</v>
      </c>
      <c r="AT50" s="2" t="s">
        <v>25</v>
      </c>
      <c r="AU50" s="2">
        <v>12</v>
      </c>
      <c r="AV50" s="10" t="str">
        <f t="shared" si="23"/>
        <v>JCR-SKY-6h-12</v>
      </c>
    </row>
    <row r="51" spans="1:48" x14ac:dyDescent="0.2">
      <c r="A51" s="39">
        <v>48</v>
      </c>
      <c r="B51" s="25" t="s">
        <v>6</v>
      </c>
      <c r="C51" s="4" t="s">
        <v>5</v>
      </c>
      <c r="D51" s="4" t="s">
        <v>21</v>
      </c>
      <c r="E51" s="4">
        <v>3</v>
      </c>
      <c r="F51" s="26" t="str">
        <f t="shared" si="19"/>
        <v>LS-LOM-SKY-VAPOR-3hr</v>
      </c>
      <c r="G51" s="4" t="s">
        <v>286</v>
      </c>
      <c r="H51" s="4"/>
      <c r="I51" s="4"/>
      <c r="K51" s="4" t="str">
        <f t="shared" si="22"/>
        <v>LS-LOM-SKY-VAPOR-3hr-d2H</v>
      </c>
      <c r="AR51" s="11" t="s">
        <v>2</v>
      </c>
      <c r="AS51" s="12" t="s">
        <v>5</v>
      </c>
      <c r="AT51" s="12" t="s">
        <v>25</v>
      </c>
      <c r="AU51" s="12">
        <v>15</v>
      </c>
      <c r="AV51" s="13" t="str">
        <f t="shared" si="23"/>
        <v>JCR-SKY-6h-15</v>
      </c>
    </row>
    <row r="52" spans="1:48" x14ac:dyDescent="0.2">
      <c r="A52" s="39">
        <v>49</v>
      </c>
      <c r="B52" s="25" t="s">
        <v>6</v>
      </c>
      <c r="C52" s="4" t="s">
        <v>5</v>
      </c>
      <c r="D52" s="4" t="s">
        <v>21</v>
      </c>
      <c r="E52" s="4">
        <v>6</v>
      </c>
      <c r="F52" s="26" t="str">
        <f t="shared" si="19"/>
        <v>LS-LOM-SKY-VAPOR-6hr</v>
      </c>
      <c r="G52" s="4" t="s">
        <v>287</v>
      </c>
      <c r="H52" s="4"/>
      <c r="I52" s="4"/>
      <c r="K52" s="4" t="str">
        <f t="shared" si="22"/>
        <v>LS-LOM-SKY-VAPOR-6hr-d2H</v>
      </c>
      <c r="AR52" s="6" t="s">
        <v>2</v>
      </c>
      <c r="AS52" s="7" t="s">
        <v>3</v>
      </c>
      <c r="AT52" s="7" t="s">
        <v>26</v>
      </c>
      <c r="AU52" s="7">
        <v>1</v>
      </c>
      <c r="AV52" s="8" t="str">
        <f>_xlfn.CONCAT(AR52,"-",AS52,"-",AT52,"-",AU52)</f>
        <v>JCR-ROS-24h-1</v>
      </c>
    </row>
    <row r="53" spans="1:48" x14ac:dyDescent="0.2">
      <c r="A53" s="39">
        <v>50</v>
      </c>
      <c r="B53" s="25" t="s">
        <v>6</v>
      </c>
      <c r="C53" s="4" t="s">
        <v>5</v>
      </c>
      <c r="D53" s="4" t="s">
        <v>21</v>
      </c>
      <c r="E53" s="4">
        <v>24</v>
      </c>
      <c r="F53" s="26" t="str">
        <f t="shared" si="19"/>
        <v>LS-LOM-SKY-VAPOR-24hr</v>
      </c>
      <c r="G53" s="4" t="s">
        <v>288</v>
      </c>
      <c r="H53" s="4"/>
      <c r="I53" s="4"/>
      <c r="K53" s="4" t="str">
        <f t="shared" si="22"/>
        <v>LS-LOM-SKY-VAPOR-24hr-d2H</v>
      </c>
      <c r="AR53" s="9" t="s">
        <v>2</v>
      </c>
      <c r="AS53" s="2" t="s">
        <v>3</v>
      </c>
      <c r="AT53" s="2" t="s">
        <v>26</v>
      </c>
      <c r="AU53" s="2">
        <v>2</v>
      </c>
      <c r="AV53" s="10" t="str">
        <f t="shared" ref="AV53:AV57" si="24">_xlfn.CONCAT(AR53,"-",AS53,"-",AT53,"-",AU53)</f>
        <v>JCR-ROS-24h-2</v>
      </c>
    </row>
    <row r="54" spans="1:48" x14ac:dyDescent="0.2">
      <c r="A54" s="39">
        <v>51</v>
      </c>
      <c r="B54" s="25" t="s">
        <v>6</v>
      </c>
      <c r="C54" s="4" t="s">
        <v>5</v>
      </c>
      <c r="D54" s="4" t="s">
        <v>21</v>
      </c>
      <c r="E54" s="4">
        <v>48</v>
      </c>
      <c r="F54" s="26" t="str">
        <f t="shared" si="19"/>
        <v>LS-LOM-SKY-VAPOR-48hr</v>
      </c>
      <c r="G54" s="4" t="s">
        <v>289</v>
      </c>
      <c r="H54" s="4"/>
      <c r="I54" s="4"/>
      <c r="K54" s="4" t="str">
        <f t="shared" si="22"/>
        <v>LS-LOM-SKY-VAPOR-48hr-d2H</v>
      </c>
      <c r="AR54" s="9" t="s">
        <v>2</v>
      </c>
      <c r="AS54" s="2" t="s">
        <v>3</v>
      </c>
      <c r="AT54" s="2" t="s">
        <v>26</v>
      </c>
      <c r="AU54" s="2">
        <v>3</v>
      </c>
      <c r="AV54" s="10" t="str">
        <f t="shared" si="24"/>
        <v>JCR-ROS-24h-3</v>
      </c>
    </row>
    <row r="55" spans="1:48" x14ac:dyDescent="0.2">
      <c r="A55" s="39">
        <v>52</v>
      </c>
      <c r="B55" s="27" t="s">
        <v>6</v>
      </c>
      <c r="C55" s="28" t="s">
        <v>5</v>
      </c>
      <c r="D55" s="28" t="s">
        <v>21</v>
      </c>
      <c r="E55" s="28">
        <v>72</v>
      </c>
      <c r="F55" s="29" t="str">
        <f t="shared" si="19"/>
        <v>LS-LOM-SKY-VAPOR-72hr</v>
      </c>
      <c r="G55" s="4" t="s">
        <v>290</v>
      </c>
      <c r="H55" s="4"/>
      <c r="I55" s="4"/>
      <c r="K55" s="4" t="str">
        <f t="shared" si="22"/>
        <v>LS-LOM-SKY-VAPOR-72hr-d2H</v>
      </c>
      <c r="AR55" s="9" t="s">
        <v>2</v>
      </c>
      <c r="AS55" s="2" t="s">
        <v>3</v>
      </c>
      <c r="AT55" s="2" t="s">
        <v>26</v>
      </c>
      <c r="AU55" s="2">
        <v>8</v>
      </c>
      <c r="AV55" s="10" t="str">
        <f t="shared" si="24"/>
        <v>JCR-ROS-24h-8</v>
      </c>
    </row>
    <row r="56" spans="1:48" x14ac:dyDescent="0.2">
      <c r="A56" s="39">
        <v>53</v>
      </c>
      <c r="G56" t="s">
        <v>263</v>
      </c>
      <c r="H56" s="85">
        <v>45814</v>
      </c>
      <c r="AR56" s="9" t="s">
        <v>2</v>
      </c>
      <c r="AS56" s="2" t="s">
        <v>3</v>
      </c>
      <c r="AT56" s="2" t="s">
        <v>26</v>
      </c>
      <c r="AU56" s="2">
        <v>12</v>
      </c>
      <c r="AV56" s="10" t="str">
        <f t="shared" si="24"/>
        <v>JCR-ROS-24h-12</v>
      </c>
    </row>
    <row r="57" spans="1:48" x14ac:dyDescent="0.2">
      <c r="A57" s="39">
        <v>54</v>
      </c>
      <c r="G57" t="s">
        <v>264</v>
      </c>
      <c r="H57" s="85">
        <v>45814</v>
      </c>
      <c r="AR57" s="11" t="s">
        <v>2</v>
      </c>
      <c r="AS57" s="12" t="s">
        <v>3</v>
      </c>
      <c r="AT57" s="12" t="s">
        <v>26</v>
      </c>
      <c r="AU57" s="12">
        <v>15</v>
      </c>
      <c r="AV57" s="13" t="str">
        <f t="shared" si="24"/>
        <v>JCR-ROS-24h-15</v>
      </c>
    </row>
    <row r="58" spans="1:48" x14ac:dyDescent="0.2">
      <c r="A58" s="39">
        <v>55</v>
      </c>
      <c r="AR58" s="6" t="s">
        <v>2</v>
      </c>
      <c r="AS58" s="7" t="s">
        <v>5</v>
      </c>
      <c r="AT58" s="7" t="s">
        <v>26</v>
      </c>
      <c r="AU58" s="7">
        <v>1</v>
      </c>
      <c r="AV58" s="8" t="str">
        <f>_xlfn.CONCAT(AR58,"-",AS58,"-",AT58,"-",AU58)</f>
        <v>JCR-SKY-24h-1</v>
      </c>
    </row>
    <row r="59" spans="1:48" x14ac:dyDescent="0.2">
      <c r="A59" s="39">
        <v>56</v>
      </c>
      <c r="AR59" s="9" t="s">
        <v>2</v>
      </c>
      <c r="AS59" s="2" t="s">
        <v>5</v>
      </c>
      <c r="AT59" s="2" t="s">
        <v>26</v>
      </c>
      <c r="AU59" s="2">
        <v>2</v>
      </c>
      <c r="AV59" s="10" t="str">
        <f t="shared" ref="AV59:AV63" si="25">_xlfn.CONCAT(AR59,"-",AS59,"-",AT59,"-",AU59)</f>
        <v>JCR-SKY-24h-2</v>
      </c>
    </row>
    <row r="60" spans="1:48" x14ac:dyDescent="0.2">
      <c r="A60" s="39">
        <v>57</v>
      </c>
      <c r="AR60" s="9" t="s">
        <v>2</v>
      </c>
      <c r="AS60" s="2" t="s">
        <v>5</v>
      </c>
      <c r="AT60" s="2" t="s">
        <v>26</v>
      </c>
      <c r="AU60" s="2">
        <v>3</v>
      </c>
      <c r="AV60" s="10" t="str">
        <f t="shared" si="25"/>
        <v>JCR-SKY-24h-3</v>
      </c>
    </row>
    <row r="61" spans="1:48" x14ac:dyDescent="0.2">
      <c r="A61" s="39">
        <v>58</v>
      </c>
      <c r="AR61" s="9" t="s">
        <v>2</v>
      </c>
      <c r="AS61" s="2" t="s">
        <v>5</v>
      </c>
      <c r="AT61" s="2" t="s">
        <v>26</v>
      </c>
      <c r="AU61" s="2">
        <v>8</v>
      </c>
      <c r="AV61" s="10" t="str">
        <f t="shared" si="25"/>
        <v>JCR-SKY-24h-8</v>
      </c>
    </row>
    <row r="62" spans="1:48" x14ac:dyDescent="0.2">
      <c r="A62" s="39">
        <v>59</v>
      </c>
      <c r="AR62" s="9" t="s">
        <v>2</v>
      </c>
      <c r="AS62" s="2" t="s">
        <v>5</v>
      </c>
      <c r="AT62" s="2" t="s">
        <v>26</v>
      </c>
      <c r="AU62" s="2">
        <v>12</v>
      </c>
      <c r="AV62" s="10" t="str">
        <f t="shared" si="25"/>
        <v>JCR-SKY-24h-12</v>
      </c>
    </row>
    <row r="63" spans="1:48" x14ac:dyDescent="0.2">
      <c r="A63" s="39">
        <v>60</v>
      </c>
      <c r="AR63" s="11" t="s">
        <v>2</v>
      </c>
      <c r="AS63" s="12" t="s">
        <v>5</v>
      </c>
      <c r="AT63" s="12" t="s">
        <v>26</v>
      </c>
      <c r="AU63" s="12">
        <v>15</v>
      </c>
      <c r="AV63" s="13" t="str">
        <f t="shared" si="25"/>
        <v>JCR-SKY-24h-15</v>
      </c>
    </row>
    <row r="64" spans="1:48" x14ac:dyDescent="0.2">
      <c r="A64" s="39">
        <v>61</v>
      </c>
      <c r="AR64" s="6" t="s">
        <v>2</v>
      </c>
      <c r="AS64" s="7" t="s">
        <v>3</v>
      </c>
      <c r="AT64" s="7" t="s">
        <v>27</v>
      </c>
      <c r="AU64" s="7">
        <v>1</v>
      </c>
      <c r="AV64" s="8" t="str">
        <f>_xlfn.CONCAT(AR64,"-",AS64,"-",AT64,"-",AU64)</f>
        <v>JCR-ROS-48h-1</v>
      </c>
    </row>
    <row r="65" spans="1:48" x14ac:dyDescent="0.2">
      <c r="A65" s="39">
        <v>62</v>
      </c>
      <c r="AR65" s="9" t="s">
        <v>2</v>
      </c>
      <c r="AS65" s="2" t="s">
        <v>3</v>
      </c>
      <c r="AT65" s="2" t="s">
        <v>27</v>
      </c>
      <c r="AU65" s="2">
        <v>2</v>
      </c>
      <c r="AV65" s="10" t="str">
        <f t="shared" ref="AV65:AV69" si="26">_xlfn.CONCAT(AR65,"-",AS65,"-",AT65,"-",AU65)</f>
        <v>JCR-ROS-48h-2</v>
      </c>
    </row>
    <row r="66" spans="1:48" x14ac:dyDescent="0.2">
      <c r="A66" s="39">
        <v>63</v>
      </c>
      <c r="AR66" s="9" t="s">
        <v>2</v>
      </c>
      <c r="AS66" s="2" t="s">
        <v>3</v>
      </c>
      <c r="AT66" s="2" t="s">
        <v>27</v>
      </c>
      <c r="AU66" s="2">
        <v>3</v>
      </c>
      <c r="AV66" s="10" t="str">
        <f t="shared" si="26"/>
        <v>JCR-ROS-48h-3</v>
      </c>
    </row>
    <row r="67" spans="1:48" x14ac:dyDescent="0.2">
      <c r="A67" s="39">
        <v>64</v>
      </c>
      <c r="AR67" s="9" t="s">
        <v>2</v>
      </c>
      <c r="AS67" s="2" t="s">
        <v>3</v>
      </c>
      <c r="AT67" s="2" t="s">
        <v>27</v>
      </c>
      <c r="AU67" s="2">
        <v>8</v>
      </c>
      <c r="AV67" s="10" t="str">
        <f t="shared" si="26"/>
        <v>JCR-ROS-48h-8</v>
      </c>
    </row>
    <row r="68" spans="1:48" x14ac:dyDescent="0.2">
      <c r="A68" s="39">
        <v>65</v>
      </c>
      <c r="AR68" s="9" t="s">
        <v>2</v>
      </c>
      <c r="AS68" s="2" t="s">
        <v>3</v>
      </c>
      <c r="AT68" s="2" t="s">
        <v>27</v>
      </c>
      <c r="AU68" s="2">
        <v>12</v>
      </c>
      <c r="AV68" s="10" t="str">
        <f t="shared" si="26"/>
        <v>JCR-ROS-48h-12</v>
      </c>
    </row>
    <row r="69" spans="1:48" x14ac:dyDescent="0.2">
      <c r="A69" s="39">
        <v>66</v>
      </c>
      <c r="AR69" s="11" t="s">
        <v>2</v>
      </c>
      <c r="AS69" s="12" t="s">
        <v>3</v>
      </c>
      <c r="AT69" s="12" t="s">
        <v>27</v>
      </c>
      <c r="AU69" s="12">
        <v>15</v>
      </c>
      <c r="AV69" s="13" t="str">
        <f t="shared" si="26"/>
        <v>JCR-ROS-48h-15</v>
      </c>
    </row>
    <row r="70" spans="1:48" x14ac:dyDescent="0.2">
      <c r="A70" s="39">
        <v>67</v>
      </c>
      <c r="AR70" s="6" t="s">
        <v>2</v>
      </c>
      <c r="AS70" s="7" t="s">
        <v>5</v>
      </c>
      <c r="AT70" s="7" t="s">
        <v>27</v>
      </c>
      <c r="AU70" s="7">
        <v>1</v>
      </c>
      <c r="AV70" s="8" t="str">
        <f>_xlfn.CONCAT(AR70,"-",AS70,"-",AT70,"-",AU70)</f>
        <v>JCR-SKY-48h-1</v>
      </c>
    </row>
    <row r="71" spans="1:48" x14ac:dyDescent="0.2">
      <c r="A71" s="39">
        <v>68</v>
      </c>
      <c r="AR71" s="9" t="s">
        <v>2</v>
      </c>
      <c r="AS71" s="2" t="s">
        <v>5</v>
      </c>
      <c r="AT71" s="2" t="s">
        <v>27</v>
      </c>
      <c r="AU71" s="2">
        <v>2</v>
      </c>
      <c r="AV71" s="10" t="str">
        <f t="shared" ref="AV71:AV76" si="27">_xlfn.CONCAT(AR71,"-",AS71,"-",AT71,"-",AU71)</f>
        <v>JCR-SKY-48h-2</v>
      </c>
    </row>
    <row r="72" spans="1:48" x14ac:dyDescent="0.2">
      <c r="A72" s="39">
        <v>69</v>
      </c>
      <c r="AR72" s="9" t="s">
        <v>2</v>
      </c>
      <c r="AS72" s="2" t="s">
        <v>5</v>
      </c>
      <c r="AT72" s="2" t="s">
        <v>27</v>
      </c>
      <c r="AU72" s="2">
        <v>3</v>
      </c>
      <c r="AV72" s="10" t="str">
        <f t="shared" si="27"/>
        <v>JCR-SKY-48h-3</v>
      </c>
    </row>
    <row r="73" spans="1:48" x14ac:dyDescent="0.2">
      <c r="A73" s="39">
        <v>70</v>
      </c>
      <c r="AR73" s="9" t="s">
        <v>2</v>
      </c>
      <c r="AS73" s="2" t="s">
        <v>5</v>
      </c>
      <c r="AT73" s="2" t="s">
        <v>27</v>
      </c>
      <c r="AU73" s="2">
        <v>8</v>
      </c>
      <c r="AV73" s="10" t="str">
        <f t="shared" si="27"/>
        <v>JCR-SKY-48h-8</v>
      </c>
    </row>
    <row r="74" spans="1:48" x14ac:dyDescent="0.2">
      <c r="A74" s="39">
        <v>71</v>
      </c>
      <c r="AR74" s="9" t="s">
        <v>2</v>
      </c>
      <c r="AS74" s="2" t="s">
        <v>5</v>
      </c>
      <c r="AT74" s="2" t="s">
        <v>27</v>
      </c>
      <c r="AU74" s="2">
        <v>12</v>
      </c>
      <c r="AV74" s="10" t="str">
        <f t="shared" si="27"/>
        <v>JCR-SKY-48h-12</v>
      </c>
    </row>
    <row r="75" spans="1:48" x14ac:dyDescent="0.2">
      <c r="A75" s="39">
        <v>72</v>
      </c>
      <c r="AR75" s="11" t="s">
        <v>2</v>
      </c>
      <c r="AS75" s="12" t="s">
        <v>5</v>
      </c>
      <c r="AT75" s="12" t="s">
        <v>27</v>
      </c>
      <c r="AU75" s="12">
        <v>15</v>
      </c>
      <c r="AV75" s="13" t="str">
        <f t="shared" si="27"/>
        <v>JCR-SKY-48h-15</v>
      </c>
    </row>
    <row r="76" spans="1:48" x14ac:dyDescent="0.2">
      <c r="A76" s="39">
        <v>73</v>
      </c>
      <c r="AR76" s="9" t="s">
        <v>2</v>
      </c>
      <c r="AS76" s="2" t="s">
        <v>29</v>
      </c>
      <c r="AT76" s="2"/>
      <c r="AU76" s="2" t="s">
        <v>30</v>
      </c>
      <c r="AV76" s="10" t="str">
        <f t="shared" si="27"/>
        <v>JCR-BLANK--A</v>
      </c>
    </row>
    <row r="77" spans="1:48" x14ac:dyDescent="0.2">
      <c r="A77" s="39">
        <v>74</v>
      </c>
      <c r="AR77" s="9" t="s">
        <v>2</v>
      </c>
      <c r="AS77" s="2" t="s">
        <v>29</v>
      </c>
      <c r="AT77" s="2"/>
      <c r="AU77" s="2" t="s">
        <v>31</v>
      </c>
      <c r="AV77" s="10" t="str">
        <f t="shared" ref="AV77:AV78" si="28">_xlfn.CONCAT(AR77,"-",AS77,"-",AT77,"-",AU77)</f>
        <v>JCR-BLANK--B</v>
      </c>
    </row>
    <row r="78" spans="1:48" x14ac:dyDescent="0.2">
      <c r="A78" s="39">
        <v>75</v>
      </c>
      <c r="AR78" s="6" t="s">
        <v>2</v>
      </c>
      <c r="AS78" s="7" t="s">
        <v>42</v>
      </c>
      <c r="AT78" s="7"/>
      <c r="AU78" s="7" t="s">
        <v>30</v>
      </c>
      <c r="AV78" s="8" t="str">
        <f t="shared" si="28"/>
        <v>JCR-AMBIENT--A</v>
      </c>
    </row>
    <row r="79" spans="1:48" x14ac:dyDescent="0.2">
      <c r="A79" s="39">
        <v>76</v>
      </c>
      <c r="AR79" s="11" t="s">
        <v>2</v>
      </c>
      <c r="AS79" s="12" t="s">
        <v>42</v>
      </c>
      <c r="AT79" s="12"/>
      <c r="AU79" s="12" t="s">
        <v>31</v>
      </c>
      <c r="AV79" s="13" t="str">
        <f t="shared" ref="AV79" si="29">_xlfn.CONCAT(AR79,"-",AS79,"-",AT79,"-",AU79)</f>
        <v>JCR-AMBIENT--B</v>
      </c>
    </row>
    <row r="80" spans="1:48" x14ac:dyDescent="0.2">
      <c r="A80" s="39">
        <v>77</v>
      </c>
      <c r="AR80" s="14" t="s">
        <v>7</v>
      </c>
      <c r="AS80" s="15" t="s">
        <v>3</v>
      </c>
      <c r="AT80" s="15" t="s">
        <v>23</v>
      </c>
      <c r="AU80" s="15">
        <v>1</v>
      </c>
      <c r="AV80" s="16" t="str">
        <f>_xlfn.CONCAT(AR80,"-",AS80,"-",AT80,"-",AU80)</f>
        <v>PAL-ROS-pre-1</v>
      </c>
    </row>
    <row r="81" spans="1:48" x14ac:dyDescent="0.2">
      <c r="A81" s="39">
        <v>78</v>
      </c>
      <c r="AR81" s="17" t="s">
        <v>7</v>
      </c>
      <c r="AS81" s="3" t="s">
        <v>3</v>
      </c>
      <c r="AT81" s="3" t="s">
        <v>23</v>
      </c>
      <c r="AU81" s="3">
        <v>2</v>
      </c>
      <c r="AV81" s="18" t="str">
        <f t="shared" ref="AV81:AV85" si="30">_xlfn.CONCAT(AR81,"-",AS81,"-",AT81,"-",AU81)</f>
        <v>PAL-ROS-pre-2</v>
      </c>
    </row>
    <row r="82" spans="1:48" x14ac:dyDescent="0.2">
      <c r="A82" s="39">
        <v>79</v>
      </c>
      <c r="AR82" s="17" t="s">
        <v>7</v>
      </c>
      <c r="AS82" s="3" t="s">
        <v>3</v>
      </c>
      <c r="AT82" s="3" t="s">
        <v>23</v>
      </c>
      <c r="AU82" s="3">
        <v>3</v>
      </c>
      <c r="AV82" s="18" t="str">
        <f t="shared" si="30"/>
        <v>PAL-ROS-pre-3</v>
      </c>
    </row>
    <row r="83" spans="1:48" x14ac:dyDescent="0.2">
      <c r="A83" s="39">
        <v>80</v>
      </c>
      <c r="AR83" s="17" t="s">
        <v>7</v>
      </c>
      <c r="AS83" s="3" t="s">
        <v>3</v>
      </c>
      <c r="AT83" s="3" t="s">
        <v>23</v>
      </c>
      <c r="AU83" s="3">
        <v>8</v>
      </c>
      <c r="AV83" s="18" t="str">
        <f t="shared" si="30"/>
        <v>PAL-ROS-pre-8</v>
      </c>
    </row>
    <row r="84" spans="1:48" x14ac:dyDescent="0.2">
      <c r="A84" s="39">
        <v>81</v>
      </c>
      <c r="AR84" s="17" t="s">
        <v>7</v>
      </c>
      <c r="AS84" s="3" t="s">
        <v>3</v>
      </c>
      <c r="AT84" s="3" t="s">
        <v>23</v>
      </c>
      <c r="AU84" s="3">
        <v>12</v>
      </c>
      <c r="AV84" s="18" t="str">
        <f t="shared" si="30"/>
        <v>PAL-ROS-pre-12</v>
      </c>
    </row>
    <row r="85" spans="1:48" x14ac:dyDescent="0.2">
      <c r="A85" s="39">
        <v>82</v>
      </c>
      <c r="AR85" s="19" t="s">
        <v>7</v>
      </c>
      <c r="AS85" s="20" t="s">
        <v>3</v>
      </c>
      <c r="AT85" s="20" t="s">
        <v>23</v>
      </c>
      <c r="AU85" s="20">
        <v>15</v>
      </c>
      <c r="AV85" s="21" t="str">
        <f t="shared" si="30"/>
        <v>PAL-ROS-pre-15</v>
      </c>
    </row>
    <row r="86" spans="1:48" x14ac:dyDescent="0.2">
      <c r="A86" s="39">
        <v>83</v>
      </c>
      <c r="AR86" s="14" t="s">
        <v>7</v>
      </c>
      <c r="AS86" s="15" t="s">
        <v>5</v>
      </c>
      <c r="AT86" s="15" t="s">
        <v>23</v>
      </c>
      <c r="AU86" s="15">
        <v>1</v>
      </c>
      <c r="AV86" s="16" t="str">
        <f>_xlfn.CONCAT(AR86,"-",AS86,"-",AT86,"-",AU86)</f>
        <v>PAL-SKY-pre-1</v>
      </c>
    </row>
    <row r="87" spans="1:48" x14ac:dyDescent="0.2">
      <c r="A87" s="39">
        <v>84</v>
      </c>
      <c r="AR87" s="17" t="s">
        <v>7</v>
      </c>
      <c r="AS87" s="3" t="s">
        <v>5</v>
      </c>
      <c r="AT87" s="3" t="s">
        <v>23</v>
      </c>
      <c r="AU87" s="3">
        <v>2</v>
      </c>
      <c r="AV87" s="18" t="str">
        <f t="shared" ref="AV87:AV91" si="31">_xlfn.CONCAT(AR87,"-",AS87,"-",AT87,"-",AU87)</f>
        <v>PAL-SKY-pre-2</v>
      </c>
    </row>
    <row r="88" spans="1:48" x14ac:dyDescent="0.2">
      <c r="A88" s="39">
        <v>85</v>
      </c>
      <c r="AR88" s="17" t="s">
        <v>7</v>
      </c>
      <c r="AS88" s="3" t="s">
        <v>5</v>
      </c>
      <c r="AT88" s="3" t="s">
        <v>23</v>
      </c>
      <c r="AU88" s="3">
        <v>3</v>
      </c>
      <c r="AV88" s="18" t="str">
        <f t="shared" si="31"/>
        <v>PAL-SKY-pre-3</v>
      </c>
    </row>
    <row r="89" spans="1:48" x14ac:dyDescent="0.2">
      <c r="A89" s="39">
        <v>86</v>
      </c>
      <c r="AR89" s="17" t="s">
        <v>7</v>
      </c>
      <c r="AS89" s="3" t="s">
        <v>5</v>
      </c>
      <c r="AT89" s="3" t="s">
        <v>23</v>
      </c>
      <c r="AU89" s="3">
        <v>8</v>
      </c>
      <c r="AV89" s="18" t="str">
        <f t="shared" si="31"/>
        <v>PAL-SKY-pre-8</v>
      </c>
    </row>
    <row r="90" spans="1:48" x14ac:dyDescent="0.2">
      <c r="A90" s="39">
        <v>87</v>
      </c>
      <c r="AR90" s="17" t="s">
        <v>7</v>
      </c>
      <c r="AS90" s="3" t="s">
        <v>5</v>
      </c>
      <c r="AT90" s="3" t="s">
        <v>23</v>
      </c>
      <c r="AU90" s="3">
        <v>12</v>
      </c>
      <c r="AV90" s="18" t="str">
        <f t="shared" si="31"/>
        <v>PAL-SKY-pre-12</v>
      </c>
    </row>
    <row r="91" spans="1:48" x14ac:dyDescent="0.2">
      <c r="A91" s="39">
        <v>88</v>
      </c>
      <c r="AR91" s="19" t="s">
        <v>7</v>
      </c>
      <c r="AS91" s="20" t="s">
        <v>5</v>
      </c>
      <c r="AT91" s="20" t="s">
        <v>23</v>
      </c>
      <c r="AU91" s="20">
        <v>15</v>
      </c>
      <c r="AV91" s="21" t="str">
        <f t="shared" si="31"/>
        <v>PAL-SKY-pre-15</v>
      </c>
    </row>
    <row r="92" spans="1:48" x14ac:dyDescent="0.2">
      <c r="A92" s="39">
        <v>89</v>
      </c>
      <c r="AR92" s="14" t="s">
        <v>7</v>
      </c>
      <c r="AS92" s="15" t="s">
        <v>3</v>
      </c>
      <c r="AT92" s="15" t="s">
        <v>24</v>
      </c>
      <c r="AU92" s="15">
        <v>1</v>
      </c>
      <c r="AV92" s="16" t="str">
        <f>_xlfn.CONCAT(AR92,"-",AS92,"-",AT92,"-",AU92)</f>
        <v>PAL-ROS-1h-1</v>
      </c>
    </row>
    <row r="93" spans="1:48" x14ac:dyDescent="0.2">
      <c r="A93" s="39">
        <v>90</v>
      </c>
      <c r="AR93" s="17" t="s">
        <v>7</v>
      </c>
      <c r="AS93" s="3" t="s">
        <v>3</v>
      </c>
      <c r="AT93" s="3" t="s">
        <v>24</v>
      </c>
      <c r="AU93" s="3">
        <v>2</v>
      </c>
      <c r="AV93" s="18" t="str">
        <f t="shared" ref="AV93:AV97" si="32">_xlfn.CONCAT(AR93,"-",AS93,"-",AT93,"-",AU93)</f>
        <v>PAL-ROS-1h-2</v>
      </c>
    </row>
    <row r="94" spans="1:48" x14ac:dyDescent="0.2">
      <c r="A94" s="39">
        <v>91</v>
      </c>
      <c r="AR94" s="17" t="s">
        <v>7</v>
      </c>
      <c r="AS94" s="3" t="s">
        <v>3</v>
      </c>
      <c r="AT94" s="3" t="s">
        <v>24</v>
      </c>
      <c r="AU94" s="3">
        <v>3</v>
      </c>
      <c r="AV94" s="18" t="str">
        <f t="shared" si="32"/>
        <v>PAL-ROS-1h-3</v>
      </c>
    </row>
    <row r="95" spans="1:48" x14ac:dyDescent="0.2">
      <c r="A95" s="39">
        <v>92</v>
      </c>
      <c r="AR95" s="17" t="s">
        <v>7</v>
      </c>
      <c r="AS95" s="3" t="s">
        <v>3</v>
      </c>
      <c r="AT95" s="3" t="s">
        <v>24</v>
      </c>
      <c r="AU95" s="3">
        <v>8</v>
      </c>
      <c r="AV95" s="18" t="str">
        <f t="shared" si="32"/>
        <v>PAL-ROS-1h-8</v>
      </c>
    </row>
    <row r="96" spans="1:48" x14ac:dyDescent="0.2">
      <c r="A96" s="39">
        <v>93</v>
      </c>
      <c r="AR96" s="17" t="s">
        <v>7</v>
      </c>
      <c r="AS96" s="3" t="s">
        <v>3</v>
      </c>
      <c r="AT96" s="3" t="s">
        <v>24</v>
      </c>
      <c r="AU96" s="3">
        <v>12</v>
      </c>
      <c r="AV96" s="18" t="str">
        <f t="shared" si="32"/>
        <v>PAL-ROS-1h-12</v>
      </c>
    </row>
    <row r="97" spans="1:48" x14ac:dyDescent="0.2">
      <c r="A97" s="39">
        <v>94</v>
      </c>
      <c r="AR97" s="19" t="s">
        <v>7</v>
      </c>
      <c r="AS97" s="20" t="s">
        <v>3</v>
      </c>
      <c r="AT97" s="20" t="s">
        <v>24</v>
      </c>
      <c r="AU97" s="20">
        <v>15</v>
      </c>
      <c r="AV97" s="21" t="str">
        <f t="shared" si="32"/>
        <v>PAL-ROS-1h-15</v>
      </c>
    </row>
    <row r="98" spans="1:48" x14ac:dyDescent="0.2">
      <c r="A98" s="39">
        <v>95</v>
      </c>
      <c r="AR98" s="14" t="s">
        <v>7</v>
      </c>
      <c r="AS98" s="15" t="s">
        <v>5</v>
      </c>
      <c r="AT98" s="15" t="s">
        <v>24</v>
      </c>
      <c r="AU98" s="15">
        <v>1</v>
      </c>
      <c r="AV98" s="16" t="str">
        <f>_xlfn.CONCAT(AR98,"-",AS98,"-",AT98,"-",AU98)</f>
        <v>PAL-SKY-1h-1</v>
      </c>
    </row>
    <row r="99" spans="1:48" x14ac:dyDescent="0.2">
      <c r="A99" s="39">
        <v>96</v>
      </c>
      <c r="AR99" s="17" t="s">
        <v>7</v>
      </c>
      <c r="AS99" s="3" t="s">
        <v>5</v>
      </c>
      <c r="AT99" s="3" t="s">
        <v>24</v>
      </c>
      <c r="AU99" s="3">
        <v>2</v>
      </c>
      <c r="AV99" s="18" t="str">
        <f t="shared" ref="AV99:AV103" si="33">_xlfn.CONCAT(AR99,"-",AS99,"-",AT99,"-",AU99)</f>
        <v>PAL-SKY-1h-2</v>
      </c>
    </row>
    <row r="100" spans="1:48" x14ac:dyDescent="0.2">
      <c r="A100" s="39">
        <v>97</v>
      </c>
      <c r="AR100" s="17" t="s">
        <v>7</v>
      </c>
      <c r="AS100" s="3" t="s">
        <v>5</v>
      </c>
      <c r="AT100" s="3" t="s">
        <v>24</v>
      </c>
      <c r="AU100" s="3">
        <v>3</v>
      </c>
      <c r="AV100" s="18" t="str">
        <f t="shared" si="33"/>
        <v>PAL-SKY-1h-3</v>
      </c>
    </row>
    <row r="101" spans="1:48" x14ac:dyDescent="0.2">
      <c r="A101" s="39">
        <v>98</v>
      </c>
      <c r="AR101" s="17" t="s">
        <v>7</v>
      </c>
      <c r="AS101" s="3" t="s">
        <v>5</v>
      </c>
      <c r="AT101" s="3" t="s">
        <v>24</v>
      </c>
      <c r="AU101" s="3">
        <v>8</v>
      </c>
      <c r="AV101" s="18" t="str">
        <f t="shared" si="33"/>
        <v>PAL-SKY-1h-8</v>
      </c>
    </row>
    <row r="102" spans="1:48" x14ac:dyDescent="0.2">
      <c r="A102" s="39">
        <v>99</v>
      </c>
      <c r="AR102" s="17" t="s">
        <v>7</v>
      </c>
      <c r="AS102" s="3" t="s">
        <v>5</v>
      </c>
      <c r="AT102" s="3" t="s">
        <v>24</v>
      </c>
      <c r="AU102" s="3">
        <v>12</v>
      </c>
      <c r="AV102" s="18" t="str">
        <f t="shared" si="33"/>
        <v>PAL-SKY-1h-12</v>
      </c>
    </row>
    <row r="103" spans="1:48" x14ac:dyDescent="0.2">
      <c r="A103" s="39">
        <v>100</v>
      </c>
      <c r="AR103" s="19" t="s">
        <v>7</v>
      </c>
      <c r="AS103" s="20" t="s">
        <v>5</v>
      </c>
      <c r="AT103" s="20" t="s">
        <v>24</v>
      </c>
      <c r="AU103" s="20">
        <v>15</v>
      </c>
      <c r="AV103" s="21" t="str">
        <f t="shared" si="33"/>
        <v>PAL-SKY-1h-15</v>
      </c>
    </row>
    <row r="104" spans="1:48" x14ac:dyDescent="0.2">
      <c r="A104" s="39">
        <v>101</v>
      </c>
      <c r="AR104" s="14" t="s">
        <v>7</v>
      </c>
      <c r="AS104" s="15" t="s">
        <v>3</v>
      </c>
      <c r="AT104" s="15" t="s">
        <v>25</v>
      </c>
      <c r="AU104" s="15">
        <v>1</v>
      </c>
      <c r="AV104" s="16" t="str">
        <f>_xlfn.CONCAT(AR104,"-",AS104,"-",AT104,"-",AU104)</f>
        <v>PAL-ROS-6h-1</v>
      </c>
    </row>
    <row r="105" spans="1:48" x14ac:dyDescent="0.2">
      <c r="A105" s="39">
        <v>102</v>
      </c>
      <c r="AR105" s="17" t="s">
        <v>7</v>
      </c>
      <c r="AS105" s="3" t="s">
        <v>3</v>
      </c>
      <c r="AT105" s="3" t="s">
        <v>25</v>
      </c>
      <c r="AU105" s="3">
        <v>2</v>
      </c>
      <c r="AV105" s="18" t="str">
        <f t="shared" ref="AV105:AV109" si="34">_xlfn.CONCAT(AR105,"-",AS105,"-",AT105,"-",AU105)</f>
        <v>PAL-ROS-6h-2</v>
      </c>
    </row>
    <row r="106" spans="1:48" x14ac:dyDescent="0.2">
      <c r="A106" s="39">
        <v>103</v>
      </c>
      <c r="AR106" s="17" t="s">
        <v>7</v>
      </c>
      <c r="AS106" s="3" t="s">
        <v>3</v>
      </c>
      <c r="AT106" s="3" t="s">
        <v>25</v>
      </c>
      <c r="AU106" s="3">
        <v>3</v>
      </c>
      <c r="AV106" s="18" t="str">
        <f t="shared" si="34"/>
        <v>PAL-ROS-6h-3</v>
      </c>
    </row>
    <row r="107" spans="1:48" x14ac:dyDescent="0.2">
      <c r="A107" s="39">
        <v>104</v>
      </c>
      <c r="AR107" s="17" t="s">
        <v>7</v>
      </c>
      <c r="AS107" s="3" t="s">
        <v>3</v>
      </c>
      <c r="AT107" s="3" t="s">
        <v>25</v>
      </c>
      <c r="AU107" s="3">
        <v>8</v>
      </c>
      <c r="AV107" s="18" t="str">
        <f t="shared" si="34"/>
        <v>PAL-ROS-6h-8</v>
      </c>
    </row>
    <row r="108" spans="1:48" x14ac:dyDescent="0.2">
      <c r="A108" s="39">
        <v>105</v>
      </c>
      <c r="AR108" s="17" t="s">
        <v>7</v>
      </c>
      <c r="AS108" s="3" t="s">
        <v>3</v>
      </c>
      <c r="AT108" s="3" t="s">
        <v>25</v>
      </c>
      <c r="AU108" s="3">
        <v>12</v>
      </c>
      <c r="AV108" s="18" t="str">
        <f t="shared" si="34"/>
        <v>PAL-ROS-6h-12</v>
      </c>
    </row>
    <row r="109" spans="1:48" x14ac:dyDescent="0.2">
      <c r="A109" s="39">
        <v>106</v>
      </c>
      <c r="AR109" s="19" t="s">
        <v>7</v>
      </c>
      <c r="AS109" s="20" t="s">
        <v>3</v>
      </c>
      <c r="AT109" s="20" t="s">
        <v>25</v>
      </c>
      <c r="AU109" s="20">
        <v>15</v>
      </c>
      <c r="AV109" s="21" t="str">
        <f t="shared" si="34"/>
        <v>PAL-ROS-6h-15</v>
      </c>
    </row>
    <row r="110" spans="1:48" x14ac:dyDescent="0.2">
      <c r="A110" s="39">
        <v>107</v>
      </c>
      <c r="AR110" s="14" t="s">
        <v>7</v>
      </c>
      <c r="AS110" s="15" t="s">
        <v>5</v>
      </c>
      <c r="AT110" s="15" t="s">
        <v>25</v>
      </c>
      <c r="AU110" s="15">
        <v>1</v>
      </c>
      <c r="AV110" s="16" t="str">
        <f>_xlfn.CONCAT(AR110,"-",AS110,"-",AT110,"-",AU110)</f>
        <v>PAL-SKY-6h-1</v>
      </c>
    </row>
    <row r="111" spans="1:48" x14ac:dyDescent="0.2">
      <c r="A111" s="39">
        <v>108</v>
      </c>
      <c r="AR111" s="17" t="s">
        <v>7</v>
      </c>
      <c r="AS111" s="3" t="s">
        <v>5</v>
      </c>
      <c r="AT111" s="3" t="s">
        <v>25</v>
      </c>
      <c r="AU111" s="3">
        <v>2</v>
      </c>
      <c r="AV111" s="18" t="str">
        <f t="shared" ref="AV111:AV115" si="35">_xlfn.CONCAT(AR111,"-",AS111,"-",AT111,"-",AU111)</f>
        <v>PAL-SKY-6h-2</v>
      </c>
    </row>
    <row r="112" spans="1:48" x14ac:dyDescent="0.2">
      <c r="A112" s="39">
        <v>109</v>
      </c>
      <c r="AR112" s="17" t="s">
        <v>7</v>
      </c>
      <c r="AS112" s="3" t="s">
        <v>5</v>
      </c>
      <c r="AT112" s="3" t="s">
        <v>25</v>
      </c>
      <c r="AU112" s="3">
        <v>3</v>
      </c>
      <c r="AV112" s="18" t="str">
        <f t="shared" si="35"/>
        <v>PAL-SKY-6h-3</v>
      </c>
    </row>
    <row r="113" spans="1:48" x14ac:dyDescent="0.2">
      <c r="A113" s="39">
        <v>110</v>
      </c>
      <c r="AR113" s="17" t="s">
        <v>7</v>
      </c>
      <c r="AS113" s="3" t="s">
        <v>5</v>
      </c>
      <c r="AT113" s="3" t="s">
        <v>25</v>
      </c>
      <c r="AU113" s="3">
        <v>8</v>
      </c>
      <c r="AV113" s="18" t="str">
        <f t="shared" si="35"/>
        <v>PAL-SKY-6h-8</v>
      </c>
    </row>
    <row r="114" spans="1:48" x14ac:dyDescent="0.2">
      <c r="A114" s="39">
        <v>111</v>
      </c>
      <c r="AR114" s="17" t="s">
        <v>7</v>
      </c>
      <c r="AS114" s="3" t="s">
        <v>5</v>
      </c>
      <c r="AT114" s="3" t="s">
        <v>25</v>
      </c>
      <c r="AU114" s="3">
        <v>12</v>
      </c>
      <c r="AV114" s="18" t="str">
        <f t="shared" si="35"/>
        <v>PAL-SKY-6h-12</v>
      </c>
    </row>
    <row r="115" spans="1:48" x14ac:dyDescent="0.2">
      <c r="A115" s="39">
        <v>112</v>
      </c>
      <c r="AR115" s="19" t="s">
        <v>7</v>
      </c>
      <c r="AS115" s="20" t="s">
        <v>5</v>
      </c>
      <c r="AT115" s="20" t="s">
        <v>25</v>
      </c>
      <c r="AU115" s="20">
        <v>15</v>
      </c>
      <c r="AV115" s="21" t="str">
        <f t="shared" si="35"/>
        <v>PAL-SKY-6h-15</v>
      </c>
    </row>
    <row r="116" spans="1:48" x14ac:dyDescent="0.2">
      <c r="A116" s="39">
        <v>113</v>
      </c>
      <c r="AR116" s="14" t="s">
        <v>7</v>
      </c>
      <c r="AS116" s="15" t="s">
        <v>3</v>
      </c>
      <c r="AT116" s="15" t="s">
        <v>26</v>
      </c>
      <c r="AU116" s="15">
        <v>1</v>
      </c>
      <c r="AV116" s="16" t="str">
        <f>_xlfn.CONCAT(AR116,"-",AS116,"-",AT116,"-",AU116)</f>
        <v>PAL-ROS-24h-1</v>
      </c>
    </row>
    <row r="117" spans="1:48" x14ac:dyDescent="0.2">
      <c r="A117" s="39">
        <v>114</v>
      </c>
      <c r="AR117" s="17" t="s">
        <v>7</v>
      </c>
      <c r="AS117" s="3" t="s">
        <v>3</v>
      </c>
      <c r="AT117" s="3" t="s">
        <v>26</v>
      </c>
      <c r="AU117" s="3">
        <v>2</v>
      </c>
      <c r="AV117" s="18" t="str">
        <f t="shared" ref="AV117:AV121" si="36">_xlfn.CONCAT(AR117,"-",AS117,"-",AT117,"-",AU117)</f>
        <v>PAL-ROS-24h-2</v>
      </c>
    </row>
    <row r="118" spans="1:48" x14ac:dyDescent="0.2">
      <c r="A118" s="39">
        <v>115</v>
      </c>
      <c r="AR118" s="17" t="s">
        <v>7</v>
      </c>
      <c r="AS118" s="3" t="s">
        <v>3</v>
      </c>
      <c r="AT118" s="3" t="s">
        <v>26</v>
      </c>
      <c r="AU118" s="3">
        <v>3</v>
      </c>
      <c r="AV118" s="18" t="str">
        <f t="shared" si="36"/>
        <v>PAL-ROS-24h-3</v>
      </c>
    </row>
    <row r="119" spans="1:48" x14ac:dyDescent="0.2">
      <c r="A119" s="39">
        <v>116</v>
      </c>
      <c r="AR119" s="17" t="s">
        <v>7</v>
      </c>
      <c r="AS119" s="3" t="s">
        <v>3</v>
      </c>
      <c r="AT119" s="3" t="s">
        <v>26</v>
      </c>
      <c r="AU119" s="3">
        <v>8</v>
      </c>
      <c r="AV119" s="18" t="str">
        <f t="shared" si="36"/>
        <v>PAL-ROS-24h-8</v>
      </c>
    </row>
    <row r="120" spans="1:48" x14ac:dyDescent="0.2">
      <c r="A120" s="39">
        <v>117</v>
      </c>
      <c r="AR120" s="17" t="s">
        <v>7</v>
      </c>
      <c r="AS120" s="3" t="s">
        <v>3</v>
      </c>
      <c r="AT120" s="3" t="s">
        <v>26</v>
      </c>
      <c r="AU120" s="3">
        <v>12</v>
      </c>
      <c r="AV120" s="18" t="str">
        <f t="shared" si="36"/>
        <v>PAL-ROS-24h-12</v>
      </c>
    </row>
    <row r="121" spans="1:48" x14ac:dyDescent="0.2">
      <c r="A121" s="39">
        <v>118</v>
      </c>
      <c r="AR121" s="19" t="s">
        <v>7</v>
      </c>
      <c r="AS121" s="20" t="s">
        <v>3</v>
      </c>
      <c r="AT121" s="20" t="s">
        <v>26</v>
      </c>
      <c r="AU121" s="20">
        <v>15</v>
      </c>
      <c r="AV121" s="21" t="str">
        <f t="shared" si="36"/>
        <v>PAL-ROS-24h-15</v>
      </c>
    </row>
    <row r="122" spans="1:48" x14ac:dyDescent="0.2">
      <c r="A122" s="39">
        <v>119</v>
      </c>
      <c r="AR122" s="14" t="s">
        <v>7</v>
      </c>
      <c r="AS122" s="15" t="s">
        <v>5</v>
      </c>
      <c r="AT122" s="15" t="s">
        <v>26</v>
      </c>
      <c r="AU122" s="15">
        <v>1</v>
      </c>
      <c r="AV122" s="16" t="str">
        <f>_xlfn.CONCAT(AR122,"-",AS122,"-",AT122,"-",AU122)</f>
        <v>PAL-SKY-24h-1</v>
      </c>
    </row>
    <row r="123" spans="1:48" x14ac:dyDescent="0.2">
      <c r="A123" s="39">
        <v>120</v>
      </c>
      <c r="AR123" s="17" t="s">
        <v>7</v>
      </c>
      <c r="AS123" s="3" t="s">
        <v>5</v>
      </c>
      <c r="AT123" s="3" t="s">
        <v>26</v>
      </c>
      <c r="AU123" s="3">
        <v>2</v>
      </c>
      <c r="AV123" s="18" t="str">
        <f t="shared" ref="AV123:AV127" si="37">_xlfn.CONCAT(AR123,"-",AS123,"-",AT123,"-",AU123)</f>
        <v>PAL-SKY-24h-2</v>
      </c>
    </row>
    <row r="124" spans="1:48" x14ac:dyDescent="0.2">
      <c r="A124" s="39">
        <v>121</v>
      </c>
      <c r="AR124" s="17" t="s">
        <v>7</v>
      </c>
      <c r="AS124" s="3" t="s">
        <v>5</v>
      </c>
      <c r="AT124" s="3" t="s">
        <v>26</v>
      </c>
      <c r="AU124" s="3">
        <v>3</v>
      </c>
      <c r="AV124" s="18" t="str">
        <f t="shared" si="37"/>
        <v>PAL-SKY-24h-3</v>
      </c>
    </row>
    <row r="125" spans="1:48" x14ac:dyDescent="0.2">
      <c r="A125" s="39">
        <v>122</v>
      </c>
      <c r="AR125" s="17" t="s">
        <v>7</v>
      </c>
      <c r="AS125" s="3" t="s">
        <v>5</v>
      </c>
      <c r="AT125" s="3" t="s">
        <v>26</v>
      </c>
      <c r="AU125" s="3">
        <v>8</v>
      </c>
      <c r="AV125" s="18" t="str">
        <f t="shared" si="37"/>
        <v>PAL-SKY-24h-8</v>
      </c>
    </row>
    <row r="126" spans="1:48" x14ac:dyDescent="0.2">
      <c r="A126" s="39">
        <v>123</v>
      </c>
      <c r="AR126" s="17" t="s">
        <v>7</v>
      </c>
      <c r="AS126" s="3" t="s">
        <v>5</v>
      </c>
      <c r="AT126" s="3" t="s">
        <v>26</v>
      </c>
      <c r="AU126" s="3">
        <v>12</v>
      </c>
      <c r="AV126" s="18" t="str">
        <f t="shared" si="37"/>
        <v>PAL-SKY-24h-12</v>
      </c>
    </row>
    <row r="127" spans="1:48" x14ac:dyDescent="0.2">
      <c r="A127" s="39">
        <v>124</v>
      </c>
      <c r="AR127" s="19" t="s">
        <v>7</v>
      </c>
      <c r="AS127" s="20" t="s">
        <v>5</v>
      </c>
      <c r="AT127" s="20" t="s">
        <v>26</v>
      </c>
      <c r="AU127" s="20">
        <v>15</v>
      </c>
      <c r="AV127" s="21" t="str">
        <f t="shared" si="37"/>
        <v>PAL-SKY-24h-15</v>
      </c>
    </row>
    <row r="128" spans="1:48" x14ac:dyDescent="0.2">
      <c r="A128" s="39">
        <v>125</v>
      </c>
      <c r="AR128" s="14" t="s">
        <v>7</v>
      </c>
      <c r="AS128" s="15" t="s">
        <v>3</v>
      </c>
      <c r="AT128" s="15" t="s">
        <v>27</v>
      </c>
      <c r="AU128" s="15">
        <v>1</v>
      </c>
      <c r="AV128" s="16" t="str">
        <f>_xlfn.CONCAT(AR128,"-",AS128,"-",AT128,"-",AU128)</f>
        <v>PAL-ROS-48h-1</v>
      </c>
    </row>
    <row r="129" spans="1:48" x14ac:dyDescent="0.2">
      <c r="A129" s="39">
        <v>126</v>
      </c>
      <c r="AR129" s="17" t="s">
        <v>7</v>
      </c>
      <c r="AS129" s="3" t="s">
        <v>3</v>
      </c>
      <c r="AT129" s="3" t="s">
        <v>27</v>
      </c>
      <c r="AU129" s="3">
        <v>2</v>
      </c>
      <c r="AV129" s="18" t="str">
        <f t="shared" ref="AV129:AV133" si="38">_xlfn.CONCAT(AR129,"-",AS129,"-",AT129,"-",AU129)</f>
        <v>PAL-ROS-48h-2</v>
      </c>
    </row>
    <row r="130" spans="1:48" x14ac:dyDescent="0.2">
      <c r="A130" s="39">
        <v>127</v>
      </c>
      <c r="AR130" s="17" t="s">
        <v>7</v>
      </c>
      <c r="AS130" s="3" t="s">
        <v>3</v>
      </c>
      <c r="AT130" s="3" t="s">
        <v>27</v>
      </c>
      <c r="AU130" s="3">
        <v>3</v>
      </c>
      <c r="AV130" s="18" t="str">
        <f t="shared" si="38"/>
        <v>PAL-ROS-48h-3</v>
      </c>
    </row>
    <row r="131" spans="1:48" x14ac:dyDescent="0.2">
      <c r="A131" s="39">
        <v>128</v>
      </c>
      <c r="AR131" s="17" t="s">
        <v>7</v>
      </c>
      <c r="AS131" s="3" t="s">
        <v>3</v>
      </c>
      <c r="AT131" s="3" t="s">
        <v>27</v>
      </c>
      <c r="AU131" s="3">
        <v>8</v>
      </c>
      <c r="AV131" s="18" t="str">
        <f t="shared" si="38"/>
        <v>PAL-ROS-48h-8</v>
      </c>
    </row>
    <row r="132" spans="1:48" x14ac:dyDescent="0.2">
      <c r="A132" s="39">
        <v>129</v>
      </c>
      <c r="AR132" s="17" t="s">
        <v>7</v>
      </c>
      <c r="AS132" s="3" t="s">
        <v>3</v>
      </c>
      <c r="AT132" s="3" t="s">
        <v>27</v>
      </c>
      <c r="AU132" s="3">
        <v>12</v>
      </c>
      <c r="AV132" s="18" t="str">
        <f t="shared" si="38"/>
        <v>PAL-ROS-48h-12</v>
      </c>
    </row>
    <row r="133" spans="1:48" x14ac:dyDescent="0.2">
      <c r="A133" s="39">
        <v>130</v>
      </c>
      <c r="AR133" s="19" t="s">
        <v>7</v>
      </c>
      <c r="AS133" s="20" t="s">
        <v>3</v>
      </c>
      <c r="AT133" s="20" t="s">
        <v>27</v>
      </c>
      <c r="AU133" s="20">
        <v>15</v>
      </c>
      <c r="AV133" s="21" t="str">
        <f t="shared" si="38"/>
        <v>PAL-ROS-48h-15</v>
      </c>
    </row>
    <row r="134" spans="1:48" x14ac:dyDescent="0.2">
      <c r="A134" s="39">
        <v>131</v>
      </c>
      <c r="AR134" s="14" t="s">
        <v>7</v>
      </c>
      <c r="AS134" s="15" t="s">
        <v>5</v>
      </c>
      <c r="AT134" s="15" t="s">
        <v>27</v>
      </c>
      <c r="AU134" s="15">
        <v>1</v>
      </c>
      <c r="AV134" s="16" t="str">
        <f>_xlfn.CONCAT(AR134,"-",AS134,"-",AT134,"-",AU134)</f>
        <v>PAL-SKY-48h-1</v>
      </c>
    </row>
    <row r="135" spans="1:48" x14ac:dyDescent="0.2">
      <c r="A135" s="39">
        <v>132</v>
      </c>
      <c r="AR135" s="17" t="s">
        <v>7</v>
      </c>
      <c r="AS135" s="3" t="s">
        <v>5</v>
      </c>
      <c r="AT135" s="3" t="s">
        <v>27</v>
      </c>
      <c r="AU135" s="3">
        <v>2</v>
      </c>
      <c r="AV135" s="18" t="str">
        <f t="shared" ref="AV135:AV139" si="39">_xlfn.CONCAT(AR135,"-",AS135,"-",AT135,"-",AU135)</f>
        <v>PAL-SKY-48h-2</v>
      </c>
    </row>
    <row r="136" spans="1:48" x14ac:dyDescent="0.2">
      <c r="A136" s="39">
        <v>133</v>
      </c>
      <c r="AR136" s="17" t="s">
        <v>7</v>
      </c>
      <c r="AS136" s="3" t="s">
        <v>5</v>
      </c>
      <c r="AT136" s="3" t="s">
        <v>27</v>
      </c>
      <c r="AU136" s="3">
        <v>3</v>
      </c>
      <c r="AV136" s="18" t="str">
        <f t="shared" si="39"/>
        <v>PAL-SKY-48h-3</v>
      </c>
    </row>
    <row r="137" spans="1:48" x14ac:dyDescent="0.2">
      <c r="A137" s="39">
        <v>134</v>
      </c>
      <c r="AR137" s="17" t="s">
        <v>7</v>
      </c>
      <c r="AS137" s="3" t="s">
        <v>5</v>
      </c>
      <c r="AT137" s="3" t="s">
        <v>27</v>
      </c>
      <c r="AU137" s="3">
        <v>8</v>
      </c>
      <c r="AV137" s="18" t="str">
        <f t="shared" si="39"/>
        <v>PAL-SKY-48h-8</v>
      </c>
    </row>
    <row r="138" spans="1:48" x14ac:dyDescent="0.2">
      <c r="A138" s="39">
        <v>135</v>
      </c>
      <c r="AR138" s="17" t="s">
        <v>7</v>
      </c>
      <c r="AS138" s="3" t="s">
        <v>5</v>
      </c>
      <c r="AT138" s="3" t="s">
        <v>27</v>
      </c>
      <c r="AU138" s="3">
        <v>12</v>
      </c>
      <c r="AV138" s="18" t="str">
        <f t="shared" si="39"/>
        <v>PAL-SKY-48h-12</v>
      </c>
    </row>
    <row r="139" spans="1:48" x14ac:dyDescent="0.2">
      <c r="A139" s="39">
        <v>136</v>
      </c>
      <c r="AR139" s="17" t="s">
        <v>7</v>
      </c>
      <c r="AS139" s="3" t="s">
        <v>5</v>
      </c>
      <c r="AT139" s="3" t="s">
        <v>27</v>
      </c>
      <c r="AU139" s="3">
        <v>15</v>
      </c>
      <c r="AV139" s="18" t="str">
        <f t="shared" si="39"/>
        <v>PAL-SKY-48h-15</v>
      </c>
    </row>
    <row r="140" spans="1:48" x14ac:dyDescent="0.2">
      <c r="A140" s="39">
        <v>137</v>
      </c>
      <c r="AR140" s="14" t="s">
        <v>7</v>
      </c>
      <c r="AS140" s="15" t="s">
        <v>29</v>
      </c>
      <c r="AT140" s="15"/>
      <c r="AU140" s="15" t="s">
        <v>30</v>
      </c>
      <c r="AV140" s="16" t="str">
        <f t="shared" ref="AV140:AV141" si="40">_xlfn.CONCAT(AR140,"-",AS140,"-",AT140,"-",AU140)</f>
        <v>PAL-BLANK--A</v>
      </c>
    </row>
    <row r="141" spans="1:48" x14ac:dyDescent="0.2">
      <c r="A141" s="39">
        <v>138</v>
      </c>
      <c r="AR141" s="19" t="s">
        <v>7</v>
      </c>
      <c r="AS141" s="20" t="s">
        <v>29</v>
      </c>
      <c r="AT141" s="20"/>
      <c r="AU141" s="20" t="s">
        <v>31</v>
      </c>
      <c r="AV141" s="21" t="str">
        <f t="shared" si="40"/>
        <v>PAL-BLANK--B</v>
      </c>
    </row>
    <row r="142" spans="1:48" x14ac:dyDescent="0.2">
      <c r="A142" s="39">
        <v>139</v>
      </c>
      <c r="AR142" s="17" t="s">
        <v>7</v>
      </c>
      <c r="AS142" s="3" t="s">
        <v>42</v>
      </c>
      <c r="AT142" s="3"/>
      <c r="AU142" s="3" t="s">
        <v>30</v>
      </c>
      <c r="AV142" s="18" t="str">
        <f t="shared" ref="AV142:AV143" si="41">_xlfn.CONCAT(AR142,"-",AS142,"-",AT142,"-",AU142)</f>
        <v>PAL-AMBIENT--A</v>
      </c>
    </row>
    <row r="143" spans="1:48" x14ac:dyDescent="0.2">
      <c r="A143" s="39">
        <v>140</v>
      </c>
      <c r="AR143" s="19" t="s">
        <v>7</v>
      </c>
      <c r="AS143" s="20" t="s">
        <v>42</v>
      </c>
      <c r="AT143" s="20"/>
      <c r="AU143" s="20" t="s">
        <v>31</v>
      </c>
      <c r="AV143" s="21" t="str">
        <f t="shared" si="41"/>
        <v>PAL-AMBIENT--B</v>
      </c>
    </row>
    <row r="144" spans="1:48" x14ac:dyDescent="0.2">
      <c r="A144" s="39">
        <v>141</v>
      </c>
      <c r="AR144" s="25" t="s">
        <v>6</v>
      </c>
      <c r="AS144" s="4" t="s">
        <v>3</v>
      </c>
      <c r="AT144" s="4" t="s">
        <v>23</v>
      </c>
      <c r="AU144" s="4">
        <v>1</v>
      </c>
      <c r="AV144" s="26" t="str">
        <f>_xlfn.CONCAT(AR144,"-",AS144,"-",AT144,"-",AU144)</f>
        <v>LOM-ROS-pre-1</v>
      </c>
    </row>
    <row r="145" spans="1:48" x14ac:dyDescent="0.2">
      <c r="A145" s="39">
        <v>142</v>
      </c>
      <c r="AR145" s="25" t="s">
        <v>6</v>
      </c>
      <c r="AS145" s="4" t="s">
        <v>3</v>
      </c>
      <c r="AT145" s="4" t="s">
        <v>23</v>
      </c>
      <c r="AU145" s="4">
        <v>2</v>
      </c>
      <c r="AV145" s="26" t="str">
        <f t="shared" ref="AV145:AV149" si="42">_xlfn.CONCAT(AR145,"-",AS145,"-",AT145,"-",AU145)</f>
        <v>LOM-ROS-pre-2</v>
      </c>
    </row>
    <row r="146" spans="1:48" x14ac:dyDescent="0.2">
      <c r="A146" s="39">
        <v>143</v>
      </c>
      <c r="AR146" s="25" t="s">
        <v>6</v>
      </c>
      <c r="AS146" s="4" t="s">
        <v>3</v>
      </c>
      <c r="AT146" s="4" t="s">
        <v>23</v>
      </c>
      <c r="AU146" s="4">
        <v>3</v>
      </c>
      <c r="AV146" s="26" t="str">
        <f t="shared" si="42"/>
        <v>LOM-ROS-pre-3</v>
      </c>
    </row>
    <row r="147" spans="1:48" x14ac:dyDescent="0.2">
      <c r="A147" s="39">
        <v>144</v>
      </c>
      <c r="AR147" s="25" t="s">
        <v>6</v>
      </c>
      <c r="AS147" s="4" t="s">
        <v>3</v>
      </c>
      <c r="AT147" s="4" t="s">
        <v>23</v>
      </c>
      <c r="AU147" s="4">
        <v>8</v>
      </c>
      <c r="AV147" s="26" t="str">
        <f t="shared" si="42"/>
        <v>LOM-ROS-pre-8</v>
      </c>
    </row>
    <row r="148" spans="1:48" x14ac:dyDescent="0.2">
      <c r="A148" s="39">
        <v>145</v>
      </c>
      <c r="AR148" s="25" t="s">
        <v>6</v>
      </c>
      <c r="AS148" s="4" t="s">
        <v>3</v>
      </c>
      <c r="AT148" s="4" t="s">
        <v>23</v>
      </c>
      <c r="AU148" s="4">
        <v>12</v>
      </c>
      <c r="AV148" s="26" t="str">
        <f t="shared" si="42"/>
        <v>LOM-ROS-pre-12</v>
      </c>
    </row>
    <row r="149" spans="1:48" x14ac:dyDescent="0.2">
      <c r="A149" s="39">
        <v>146</v>
      </c>
      <c r="AR149" s="27" t="s">
        <v>6</v>
      </c>
      <c r="AS149" s="28" t="s">
        <v>3</v>
      </c>
      <c r="AT149" s="28" t="s">
        <v>23</v>
      </c>
      <c r="AU149" s="28">
        <v>15</v>
      </c>
      <c r="AV149" s="29" t="str">
        <f t="shared" si="42"/>
        <v>LOM-ROS-pre-15</v>
      </c>
    </row>
    <row r="150" spans="1:48" x14ac:dyDescent="0.2">
      <c r="A150" s="39">
        <v>147</v>
      </c>
      <c r="AR150" s="22" t="s">
        <v>6</v>
      </c>
      <c r="AS150" s="23" t="s">
        <v>5</v>
      </c>
      <c r="AT150" s="23" t="s">
        <v>23</v>
      </c>
      <c r="AU150" s="23">
        <v>1</v>
      </c>
      <c r="AV150" s="24" t="str">
        <f t="shared" ref="AV150:AV181" si="43">_xlfn.CONCAT(AR150,"-",AS150,"-",AT150,"-",AU150)</f>
        <v>LOM-SKY-pre-1</v>
      </c>
    </row>
    <row r="151" spans="1:48" x14ac:dyDescent="0.2">
      <c r="A151" s="39">
        <v>148</v>
      </c>
      <c r="AR151" s="25" t="s">
        <v>6</v>
      </c>
      <c r="AS151" s="4" t="s">
        <v>5</v>
      </c>
      <c r="AT151" s="4" t="s">
        <v>23</v>
      </c>
      <c r="AU151" s="4">
        <v>2</v>
      </c>
      <c r="AV151" s="26" t="str">
        <f t="shared" si="43"/>
        <v>LOM-SKY-pre-2</v>
      </c>
    </row>
    <row r="152" spans="1:48" x14ac:dyDescent="0.2">
      <c r="A152" s="39">
        <v>149</v>
      </c>
      <c r="AR152" s="25" t="s">
        <v>6</v>
      </c>
      <c r="AS152" s="4" t="s">
        <v>5</v>
      </c>
      <c r="AT152" s="4" t="s">
        <v>23</v>
      </c>
      <c r="AU152" s="4">
        <v>3</v>
      </c>
      <c r="AV152" s="26" t="str">
        <f t="shared" si="43"/>
        <v>LOM-SKY-pre-3</v>
      </c>
    </row>
    <row r="153" spans="1:48" x14ac:dyDescent="0.2">
      <c r="A153" s="39">
        <v>150</v>
      </c>
      <c r="AR153" s="25" t="s">
        <v>6</v>
      </c>
      <c r="AS153" s="4" t="s">
        <v>5</v>
      </c>
      <c r="AT153" s="4" t="s">
        <v>23</v>
      </c>
      <c r="AU153" s="4">
        <v>8</v>
      </c>
      <c r="AV153" s="26" t="str">
        <f t="shared" si="43"/>
        <v>LOM-SKY-pre-8</v>
      </c>
    </row>
    <row r="154" spans="1:48" x14ac:dyDescent="0.2">
      <c r="A154" s="39">
        <v>151</v>
      </c>
      <c r="AR154" s="25" t="s">
        <v>6</v>
      </c>
      <c r="AS154" s="4" t="s">
        <v>5</v>
      </c>
      <c r="AT154" s="4" t="s">
        <v>23</v>
      </c>
      <c r="AU154" s="4">
        <v>12</v>
      </c>
      <c r="AV154" s="26" t="str">
        <f t="shared" si="43"/>
        <v>LOM-SKY-pre-12</v>
      </c>
    </row>
    <row r="155" spans="1:48" x14ac:dyDescent="0.2">
      <c r="A155" s="39">
        <v>152</v>
      </c>
      <c r="AR155" s="27" t="s">
        <v>6</v>
      </c>
      <c r="AS155" s="28" t="s">
        <v>5</v>
      </c>
      <c r="AT155" s="28" t="s">
        <v>23</v>
      </c>
      <c r="AU155" s="28">
        <v>15</v>
      </c>
      <c r="AV155" s="29" t="str">
        <f t="shared" si="43"/>
        <v>LOM-SKY-pre-15</v>
      </c>
    </row>
    <row r="156" spans="1:48" x14ac:dyDescent="0.2">
      <c r="A156" s="39">
        <v>153</v>
      </c>
      <c r="AR156" s="22" t="s">
        <v>6</v>
      </c>
      <c r="AS156" s="23" t="s">
        <v>3</v>
      </c>
      <c r="AT156" s="23" t="s">
        <v>24</v>
      </c>
      <c r="AU156" s="23">
        <v>1</v>
      </c>
      <c r="AV156" s="24" t="str">
        <f t="shared" si="43"/>
        <v>LOM-ROS-1h-1</v>
      </c>
    </row>
    <row r="157" spans="1:48" x14ac:dyDescent="0.2">
      <c r="A157" s="39">
        <v>154</v>
      </c>
      <c r="AR157" s="25" t="s">
        <v>6</v>
      </c>
      <c r="AS157" s="4" t="s">
        <v>3</v>
      </c>
      <c r="AT157" s="4" t="s">
        <v>24</v>
      </c>
      <c r="AU157" s="4">
        <v>2</v>
      </c>
      <c r="AV157" s="26" t="str">
        <f t="shared" si="43"/>
        <v>LOM-ROS-1h-2</v>
      </c>
    </row>
    <row r="158" spans="1:48" x14ac:dyDescent="0.2">
      <c r="A158" s="39">
        <v>155</v>
      </c>
      <c r="AR158" s="25" t="s">
        <v>6</v>
      </c>
      <c r="AS158" s="4" t="s">
        <v>3</v>
      </c>
      <c r="AT158" s="4" t="s">
        <v>24</v>
      </c>
      <c r="AU158" s="4">
        <v>3</v>
      </c>
      <c r="AV158" s="26" t="str">
        <f t="shared" si="43"/>
        <v>LOM-ROS-1h-3</v>
      </c>
    </row>
    <row r="159" spans="1:48" x14ac:dyDescent="0.2">
      <c r="A159" s="39">
        <v>156</v>
      </c>
      <c r="AR159" s="25" t="s">
        <v>6</v>
      </c>
      <c r="AS159" s="4" t="s">
        <v>3</v>
      </c>
      <c r="AT159" s="4" t="s">
        <v>24</v>
      </c>
      <c r="AU159" s="4">
        <v>8</v>
      </c>
      <c r="AV159" s="26" t="str">
        <f t="shared" si="43"/>
        <v>LOM-ROS-1h-8</v>
      </c>
    </row>
    <row r="160" spans="1:48" x14ac:dyDescent="0.2">
      <c r="A160" s="39">
        <v>157</v>
      </c>
      <c r="AR160" s="25" t="s">
        <v>6</v>
      </c>
      <c r="AS160" s="4" t="s">
        <v>3</v>
      </c>
      <c r="AT160" s="4" t="s">
        <v>24</v>
      </c>
      <c r="AU160" s="4">
        <v>12</v>
      </c>
      <c r="AV160" s="26" t="str">
        <f t="shared" si="43"/>
        <v>LOM-ROS-1h-12</v>
      </c>
    </row>
    <row r="161" spans="1:48" x14ac:dyDescent="0.2">
      <c r="A161" s="39">
        <v>158</v>
      </c>
      <c r="AR161" s="27" t="s">
        <v>6</v>
      </c>
      <c r="AS161" s="28" t="s">
        <v>3</v>
      </c>
      <c r="AT161" s="28" t="s">
        <v>24</v>
      </c>
      <c r="AU161" s="28">
        <v>15</v>
      </c>
      <c r="AV161" s="29" t="str">
        <f t="shared" si="43"/>
        <v>LOM-ROS-1h-15</v>
      </c>
    </row>
    <row r="162" spans="1:48" x14ac:dyDescent="0.2">
      <c r="A162" s="39">
        <v>159</v>
      </c>
      <c r="AR162" s="22" t="s">
        <v>6</v>
      </c>
      <c r="AS162" s="23" t="s">
        <v>5</v>
      </c>
      <c r="AT162" s="23" t="s">
        <v>24</v>
      </c>
      <c r="AU162" s="23">
        <v>1</v>
      </c>
      <c r="AV162" s="24" t="str">
        <f t="shared" si="43"/>
        <v>LOM-SKY-1h-1</v>
      </c>
    </row>
    <row r="163" spans="1:48" x14ac:dyDescent="0.2">
      <c r="A163" s="39">
        <v>160</v>
      </c>
      <c r="AR163" s="25" t="s">
        <v>6</v>
      </c>
      <c r="AS163" s="4" t="s">
        <v>5</v>
      </c>
      <c r="AT163" s="4" t="s">
        <v>24</v>
      </c>
      <c r="AU163" s="4">
        <v>2</v>
      </c>
      <c r="AV163" s="26" t="str">
        <f t="shared" si="43"/>
        <v>LOM-SKY-1h-2</v>
      </c>
    </row>
    <row r="164" spans="1:48" x14ac:dyDescent="0.2">
      <c r="A164" s="39">
        <v>161</v>
      </c>
      <c r="AR164" s="25" t="s">
        <v>6</v>
      </c>
      <c r="AS164" s="4" t="s">
        <v>5</v>
      </c>
      <c r="AT164" s="4" t="s">
        <v>24</v>
      </c>
      <c r="AU164" s="4">
        <v>3</v>
      </c>
      <c r="AV164" s="26" t="str">
        <f t="shared" si="43"/>
        <v>LOM-SKY-1h-3</v>
      </c>
    </row>
    <row r="165" spans="1:48" x14ac:dyDescent="0.2">
      <c r="A165" s="39">
        <v>162</v>
      </c>
      <c r="AR165" s="25" t="s">
        <v>6</v>
      </c>
      <c r="AS165" s="4" t="s">
        <v>5</v>
      </c>
      <c r="AT165" s="4" t="s">
        <v>24</v>
      </c>
      <c r="AU165" s="4">
        <v>8</v>
      </c>
      <c r="AV165" s="26" t="str">
        <f t="shared" si="43"/>
        <v>LOM-SKY-1h-8</v>
      </c>
    </row>
    <row r="166" spans="1:48" x14ac:dyDescent="0.2">
      <c r="A166" s="39">
        <v>163</v>
      </c>
      <c r="AR166" s="25" t="s">
        <v>6</v>
      </c>
      <c r="AS166" s="4" t="s">
        <v>5</v>
      </c>
      <c r="AT166" s="4" t="s">
        <v>24</v>
      </c>
      <c r="AU166" s="4">
        <v>12</v>
      </c>
      <c r="AV166" s="26" t="str">
        <f t="shared" si="43"/>
        <v>LOM-SKY-1h-12</v>
      </c>
    </row>
    <row r="167" spans="1:48" x14ac:dyDescent="0.2">
      <c r="A167" s="39">
        <v>164</v>
      </c>
      <c r="AR167" s="27" t="s">
        <v>6</v>
      </c>
      <c r="AS167" s="28" t="s">
        <v>5</v>
      </c>
      <c r="AT167" s="28" t="s">
        <v>24</v>
      </c>
      <c r="AU167" s="28">
        <v>15</v>
      </c>
      <c r="AV167" s="29" t="str">
        <f t="shared" si="43"/>
        <v>LOM-SKY-1h-15</v>
      </c>
    </row>
    <row r="168" spans="1:48" x14ac:dyDescent="0.2">
      <c r="A168" s="39">
        <v>165</v>
      </c>
      <c r="AR168" s="22" t="s">
        <v>6</v>
      </c>
      <c r="AS168" s="23" t="s">
        <v>3</v>
      </c>
      <c r="AT168" s="23" t="s">
        <v>25</v>
      </c>
      <c r="AU168" s="23">
        <v>1</v>
      </c>
      <c r="AV168" s="24" t="str">
        <f t="shared" si="43"/>
        <v>LOM-ROS-6h-1</v>
      </c>
    </row>
    <row r="169" spans="1:48" x14ac:dyDescent="0.2">
      <c r="A169" s="39">
        <v>166</v>
      </c>
      <c r="AR169" s="25" t="s">
        <v>6</v>
      </c>
      <c r="AS169" s="4" t="s">
        <v>3</v>
      </c>
      <c r="AT169" s="4" t="s">
        <v>25</v>
      </c>
      <c r="AU169" s="4">
        <v>2</v>
      </c>
      <c r="AV169" s="26" t="str">
        <f t="shared" si="43"/>
        <v>LOM-ROS-6h-2</v>
      </c>
    </row>
    <row r="170" spans="1:48" x14ac:dyDescent="0.2">
      <c r="A170" s="39">
        <v>167</v>
      </c>
      <c r="AR170" s="25" t="s">
        <v>6</v>
      </c>
      <c r="AS170" s="4" t="s">
        <v>3</v>
      </c>
      <c r="AT170" s="4" t="s">
        <v>25</v>
      </c>
      <c r="AU170" s="4">
        <v>3</v>
      </c>
      <c r="AV170" s="26" t="str">
        <f t="shared" si="43"/>
        <v>LOM-ROS-6h-3</v>
      </c>
    </row>
    <row r="171" spans="1:48" x14ac:dyDescent="0.2">
      <c r="A171" s="39">
        <v>168</v>
      </c>
      <c r="AR171" s="25" t="s">
        <v>6</v>
      </c>
      <c r="AS171" s="4" t="s">
        <v>3</v>
      </c>
      <c r="AT171" s="4" t="s">
        <v>25</v>
      </c>
      <c r="AU171" s="4">
        <v>8</v>
      </c>
      <c r="AV171" s="26" t="str">
        <f t="shared" si="43"/>
        <v>LOM-ROS-6h-8</v>
      </c>
    </row>
    <row r="172" spans="1:48" x14ac:dyDescent="0.2">
      <c r="A172" s="39">
        <v>169</v>
      </c>
      <c r="AR172" s="25" t="s">
        <v>6</v>
      </c>
      <c r="AS172" s="4" t="s">
        <v>3</v>
      </c>
      <c r="AT172" s="4" t="s">
        <v>25</v>
      </c>
      <c r="AU172" s="4">
        <v>12</v>
      </c>
      <c r="AV172" s="26" t="str">
        <f t="shared" si="43"/>
        <v>LOM-ROS-6h-12</v>
      </c>
    </row>
    <row r="173" spans="1:48" x14ac:dyDescent="0.2">
      <c r="A173" s="39">
        <v>170</v>
      </c>
      <c r="AR173" s="27" t="s">
        <v>6</v>
      </c>
      <c r="AS173" s="28" t="s">
        <v>3</v>
      </c>
      <c r="AT173" s="28" t="s">
        <v>25</v>
      </c>
      <c r="AU173" s="28">
        <v>15</v>
      </c>
      <c r="AV173" s="29" t="str">
        <f t="shared" si="43"/>
        <v>LOM-ROS-6h-15</v>
      </c>
    </row>
    <row r="174" spans="1:48" x14ac:dyDescent="0.2">
      <c r="A174" s="39">
        <v>171</v>
      </c>
      <c r="AR174" s="22" t="s">
        <v>6</v>
      </c>
      <c r="AS174" s="23" t="s">
        <v>5</v>
      </c>
      <c r="AT174" s="23" t="s">
        <v>25</v>
      </c>
      <c r="AU174" s="23">
        <v>1</v>
      </c>
      <c r="AV174" s="24" t="str">
        <f t="shared" si="43"/>
        <v>LOM-SKY-6h-1</v>
      </c>
    </row>
    <row r="175" spans="1:48" x14ac:dyDescent="0.2">
      <c r="A175" s="39">
        <v>172</v>
      </c>
      <c r="AR175" s="25" t="s">
        <v>6</v>
      </c>
      <c r="AS175" s="4" t="s">
        <v>5</v>
      </c>
      <c r="AT175" s="4" t="s">
        <v>25</v>
      </c>
      <c r="AU175" s="4">
        <v>2</v>
      </c>
      <c r="AV175" s="26" t="str">
        <f t="shared" si="43"/>
        <v>LOM-SKY-6h-2</v>
      </c>
    </row>
    <row r="176" spans="1:48" x14ac:dyDescent="0.2">
      <c r="A176" s="39">
        <v>173</v>
      </c>
      <c r="AR176" s="25" t="s">
        <v>6</v>
      </c>
      <c r="AS176" s="4" t="s">
        <v>5</v>
      </c>
      <c r="AT176" s="4" t="s">
        <v>25</v>
      </c>
      <c r="AU176" s="4">
        <v>3</v>
      </c>
      <c r="AV176" s="26" t="str">
        <f t="shared" si="43"/>
        <v>LOM-SKY-6h-3</v>
      </c>
    </row>
    <row r="177" spans="1:48" x14ac:dyDescent="0.2">
      <c r="A177" s="39">
        <v>174</v>
      </c>
      <c r="AR177" s="25" t="s">
        <v>6</v>
      </c>
      <c r="AS177" s="4" t="s">
        <v>5</v>
      </c>
      <c r="AT177" s="4" t="s">
        <v>25</v>
      </c>
      <c r="AU177" s="4">
        <v>8</v>
      </c>
      <c r="AV177" s="26" t="str">
        <f t="shared" si="43"/>
        <v>LOM-SKY-6h-8</v>
      </c>
    </row>
    <row r="178" spans="1:48" x14ac:dyDescent="0.2">
      <c r="A178" s="39">
        <v>175</v>
      </c>
      <c r="AR178" s="25" t="s">
        <v>6</v>
      </c>
      <c r="AS178" s="4" t="s">
        <v>5</v>
      </c>
      <c r="AT178" s="4" t="s">
        <v>25</v>
      </c>
      <c r="AU178" s="4">
        <v>12</v>
      </c>
      <c r="AV178" s="26" t="str">
        <f t="shared" si="43"/>
        <v>LOM-SKY-6h-12</v>
      </c>
    </row>
    <row r="179" spans="1:48" x14ac:dyDescent="0.2">
      <c r="A179" s="39">
        <v>176</v>
      </c>
      <c r="AR179" s="27" t="s">
        <v>6</v>
      </c>
      <c r="AS179" s="28" t="s">
        <v>5</v>
      </c>
      <c r="AT179" s="28" t="s">
        <v>25</v>
      </c>
      <c r="AU179" s="28">
        <v>15</v>
      </c>
      <c r="AV179" s="29" t="str">
        <f t="shared" si="43"/>
        <v>LOM-SKY-6h-15</v>
      </c>
    </row>
    <row r="180" spans="1:48" x14ac:dyDescent="0.2">
      <c r="A180" s="39">
        <v>177</v>
      </c>
      <c r="AR180" s="22" t="s">
        <v>6</v>
      </c>
      <c r="AS180" s="23" t="s">
        <v>3</v>
      </c>
      <c r="AT180" s="23" t="s">
        <v>26</v>
      </c>
      <c r="AU180" s="23">
        <v>1</v>
      </c>
      <c r="AV180" s="24" t="str">
        <f t="shared" si="43"/>
        <v>LOM-ROS-24h-1</v>
      </c>
    </row>
    <row r="181" spans="1:48" x14ac:dyDescent="0.2">
      <c r="A181" s="39">
        <v>178</v>
      </c>
      <c r="AR181" s="25" t="s">
        <v>6</v>
      </c>
      <c r="AS181" s="4" t="s">
        <v>3</v>
      </c>
      <c r="AT181" s="4" t="s">
        <v>26</v>
      </c>
      <c r="AU181" s="4">
        <v>2</v>
      </c>
      <c r="AV181" s="26" t="str">
        <f t="shared" si="43"/>
        <v>LOM-ROS-24h-2</v>
      </c>
    </row>
    <row r="182" spans="1:48" x14ac:dyDescent="0.2">
      <c r="A182" s="39">
        <v>179</v>
      </c>
      <c r="AR182" s="25" t="s">
        <v>6</v>
      </c>
      <c r="AS182" s="4" t="s">
        <v>3</v>
      </c>
      <c r="AT182" s="4" t="s">
        <v>26</v>
      </c>
      <c r="AU182" s="4">
        <v>3</v>
      </c>
      <c r="AV182" s="26" t="str">
        <f t="shared" ref="AV182:AV207" si="44">_xlfn.CONCAT(AR182,"-",AS182,"-",AT182,"-",AU182)</f>
        <v>LOM-ROS-24h-3</v>
      </c>
    </row>
    <row r="183" spans="1:48" x14ac:dyDescent="0.2">
      <c r="A183" s="39">
        <v>180</v>
      </c>
      <c r="AR183" s="25" t="s">
        <v>6</v>
      </c>
      <c r="AS183" s="4" t="s">
        <v>3</v>
      </c>
      <c r="AT183" s="4" t="s">
        <v>26</v>
      </c>
      <c r="AU183" s="4">
        <v>8</v>
      </c>
      <c r="AV183" s="26" t="str">
        <f t="shared" si="44"/>
        <v>LOM-ROS-24h-8</v>
      </c>
    </row>
    <row r="184" spans="1:48" x14ac:dyDescent="0.2">
      <c r="A184" s="39">
        <v>181</v>
      </c>
      <c r="AR184" s="25" t="s">
        <v>6</v>
      </c>
      <c r="AS184" s="4" t="s">
        <v>3</v>
      </c>
      <c r="AT184" s="4" t="s">
        <v>26</v>
      </c>
      <c r="AU184" s="4">
        <v>12</v>
      </c>
      <c r="AV184" s="26" t="str">
        <f t="shared" si="44"/>
        <v>LOM-ROS-24h-12</v>
      </c>
    </row>
    <row r="185" spans="1:48" x14ac:dyDescent="0.2">
      <c r="A185" s="39">
        <v>182</v>
      </c>
      <c r="AR185" s="27" t="s">
        <v>6</v>
      </c>
      <c r="AS185" s="28" t="s">
        <v>3</v>
      </c>
      <c r="AT185" s="28" t="s">
        <v>26</v>
      </c>
      <c r="AU185" s="28">
        <v>15</v>
      </c>
      <c r="AV185" s="29" t="str">
        <f t="shared" si="44"/>
        <v>LOM-ROS-24h-15</v>
      </c>
    </row>
    <row r="186" spans="1:48" x14ac:dyDescent="0.2">
      <c r="A186" s="39">
        <v>183</v>
      </c>
      <c r="AR186" s="22" t="s">
        <v>6</v>
      </c>
      <c r="AS186" s="23" t="s">
        <v>5</v>
      </c>
      <c r="AT186" s="23" t="s">
        <v>26</v>
      </c>
      <c r="AU186" s="23">
        <v>1</v>
      </c>
      <c r="AV186" s="24" t="str">
        <f t="shared" si="44"/>
        <v>LOM-SKY-24h-1</v>
      </c>
    </row>
    <row r="187" spans="1:48" x14ac:dyDescent="0.2">
      <c r="A187" s="39">
        <v>184</v>
      </c>
      <c r="AR187" s="25" t="s">
        <v>6</v>
      </c>
      <c r="AS187" s="4" t="s">
        <v>5</v>
      </c>
      <c r="AT187" s="4" t="s">
        <v>26</v>
      </c>
      <c r="AU187" s="4">
        <v>2</v>
      </c>
      <c r="AV187" s="26" t="str">
        <f t="shared" si="44"/>
        <v>LOM-SKY-24h-2</v>
      </c>
    </row>
    <row r="188" spans="1:48" x14ac:dyDescent="0.2">
      <c r="A188" s="39">
        <v>185</v>
      </c>
      <c r="AR188" s="25" t="s">
        <v>6</v>
      </c>
      <c r="AS188" s="4" t="s">
        <v>5</v>
      </c>
      <c r="AT188" s="4" t="s">
        <v>26</v>
      </c>
      <c r="AU188" s="4">
        <v>3</v>
      </c>
      <c r="AV188" s="26" t="str">
        <f t="shared" si="44"/>
        <v>LOM-SKY-24h-3</v>
      </c>
    </row>
    <row r="189" spans="1:48" x14ac:dyDescent="0.2">
      <c r="A189" s="39">
        <v>186</v>
      </c>
      <c r="AR189" s="25" t="s">
        <v>6</v>
      </c>
      <c r="AS189" s="4" t="s">
        <v>5</v>
      </c>
      <c r="AT189" s="4" t="s">
        <v>26</v>
      </c>
      <c r="AU189" s="4">
        <v>8</v>
      </c>
      <c r="AV189" s="26" t="str">
        <f t="shared" si="44"/>
        <v>LOM-SKY-24h-8</v>
      </c>
    </row>
    <row r="190" spans="1:48" x14ac:dyDescent="0.2">
      <c r="A190" s="39">
        <v>187</v>
      </c>
      <c r="AR190" s="25" t="s">
        <v>6</v>
      </c>
      <c r="AS190" s="4" t="s">
        <v>5</v>
      </c>
      <c r="AT190" s="4" t="s">
        <v>26</v>
      </c>
      <c r="AU190" s="4">
        <v>12</v>
      </c>
      <c r="AV190" s="26" t="str">
        <f t="shared" si="44"/>
        <v>LOM-SKY-24h-12</v>
      </c>
    </row>
    <row r="191" spans="1:48" x14ac:dyDescent="0.2">
      <c r="A191" s="39">
        <v>188</v>
      </c>
      <c r="AR191" s="27" t="s">
        <v>6</v>
      </c>
      <c r="AS191" s="28" t="s">
        <v>5</v>
      </c>
      <c r="AT191" s="28" t="s">
        <v>26</v>
      </c>
      <c r="AU191" s="28">
        <v>15</v>
      </c>
      <c r="AV191" s="29" t="str">
        <f t="shared" si="44"/>
        <v>LOM-SKY-24h-15</v>
      </c>
    </row>
    <row r="192" spans="1:48" x14ac:dyDescent="0.2">
      <c r="A192" s="39">
        <v>189</v>
      </c>
      <c r="AR192" s="22" t="s">
        <v>6</v>
      </c>
      <c r="AS192" s="23" t="s">
        <v>3</v>
      </c>
      <c r="AT192" s="23" t="s">
        <v>27</v>
      </c>
      <c r="AU192" s="23">
        <v>1</v>
      </c>
      <c r="AV192" s="24" t="str">
        <f t="shared" si="44"/>
        <v>LOM-ROS-48h-1</v>
      </c>
    </row>
    <row r="193" spans="1:48" x14ac:dyDescent="0.2">
      <c r="A193" s="39">
        <v>190</v>
      </c>
      <c r="AR193" s="25" t="s">
        <v>6</v>
      </c>
      <c r="AS193" s="4" t="s">
        <v>3</v>
      </c>
      <c r="AT193" s="4" t="s">
        <v>27</v>
      </c>
      <c r="AU193" s="4">
        <v>2</v>
      </c>
      <c r="AV193" s="26" t="str">
        <f t="shared" si="44"/>
        <v>LOM-ROS-48h-2</v>
      </c>
    </row>
    <row r="194" spans="1:48" x14ac:dyDescent="0.2">
      <c r="A194" s="39">
        <v>191</v>
      </c>
      <c r="AR194" s="25" t="s">
        <v>6</v>
      </c>
      <c r="AS194" s="4" t="s">
        <v>3</v>
      </c>
      <c r="AT194" s="4" t="s">
        <v>27</v>
      </c>
      <c r="AU194" s="4">
        <v>3</v>
      </c>
      <c r="AV194" s="26" t="str">
        <f t="shared" si="44"/>
        <v>LOM-ROS-48h-3</v>
      </c>
    </row>
    <row r="195" spans="1:48" x14ac:dyDescent="0.2">
      <c r="A195" s="39">
        <v>192</v>
      </c>
      <c r="AR195" s="25" t="s">
        <v>6</v>
      </c>
      <c r="AS195" s="4" t="s">
        <v>3</v>
      </c>
      <c r="AT195" s="4" t="s">
        <v>27</v>
      </c>
      <c r="AU195" s="4">
        <v>8</v>
      </c>
      <c r="AV195" s="26" t="str">
        <f t="shared" si="44"/>
        <v>LOM-ROS-48h-8</v>
      </c>
    </row>
    <row r="196" spans="1:48" x14ac:dyDescent="0.2">
      <c r="A196" s="39">
        <v>193</v>
      </c>
      <c r="AR196" s="25" t="s">
        <v>6</v>
      </c>
      <c r="AS196" s="4" t="s">
        <v>3</v>
      </c>
      <c r="AT196" s="4" t="s">
        <v>27</v>
      </c>
      <c r="AU196" s="4">
        <v>12</v>
      </c>
      <c r="AV196" s="26" t="str">
        <f t="shared" si="44"/>
        <v>LOM-ROS-48h-12</v>
      </c>
    </row>
    <row r="197" spans="1:48" x14ac:dyDescent="0.2">
      <c r="A197" s="39">
        <v>194</v>
      </c>
      <c r="AR197" s="27" t="s">
        <v>6</v>
      </c>
      <c r="AS197" s="28" t="s">
        <v>3</v>
      </c>
      <c r="AT197" s="28" t="s">
        <v>27</v>
      </c>
      <c r="AU197" s="28">
        <v>15</v>
      </c>
      <c r="AV197" s="29" t="str">
        <f t="shared" si="44"/>
        <v>LOM-ROS-48h-15</v>
      </c>
    </row>
    <row r="198" spans="1:48" x14ac:dyDescent="0.2">
      <c r="A198" s="39">
        <v>195</v>
      </c>
      <c r="AR198" s="22" t="s">
        <v>6</v>
      </c>
      <c r="AS198" s="23" t="s">
        <v>5</v>
      </c>
      <c r="AT198" s="23" t="s">
        <v>27</v>
      </c>
      <c r="AU198" s="23">
        <v>1</v>
      </c>
      <c r="AV198" s="24" t="str">
        <f t="shared" si="44"/>
        <v>LOM-SKY-48h-1</v>
      </c>
    </row>
    <row r="199" spans="1:48" x14ac:dyDescent="0.2">
      <c r="A199" s="39">
        <v>196</v>
      </c>
      <c r="AR199" s="25" t="s">
        <v>6</v>
      </c>
      <c r="AS199" s="4" t="s">
        <v>5</v>
      </c>
      <c r="AT199" s="4" t="s">
        <v>27</v>
      </c>
      <c r="AU199" s="4">
        <v>2</v>
      </c>
      <c r="AV199" s="26" t="str">
        <f t="shared" si="44"/>
        <v>LOM-SKY-48h-2</v>
      </c>
    </row>
    <row r="200" spans="1:48" x14ac:dyDescent="0.2">
      <c r="A200" s="39">
        <v>197</v>
      </c>
      <c r="AR200" s="25" t="s">
        <v>6</v>
      </c>
      <c r="AS200" s="4" t="s">
        <v>5</v>
      </c>
      <c r="AT200" s="4" t="s">
        <v>27</v>
      </c>
      <c r="AU200" s="4">
        <v>3</v>
      </c>
      <c r="AV200" s="26" t="str">
        <f t="shared" si="44"/>
        <v>LOM-SKY-48h-3</v>
      </c>
    </row>
    <row r="201" spans="1:48" x14ac:dyDescent="0.2">
      <c r="A201" s="39">
        <v>198</v>
      </c>
      <c r="AR201" s="25" t="s">
        <v>6</v>
      </c>
      <c r="AS201" s="4" t="s">
        <v>5</v>
      </c>
      <c r="AT201" s="4" t="s">
        <v>27</v>
      </c>
      <c r="AU201" s="4">
        <v>8</v>
      </c>
      <c r="AV201" s="26" t="str">
        <f t="shared" si="44"/>
        <v>LOM-SKY-48h-8</v>
      </c>
    </row>
    <row r="202" spans="1:48" x14ac:dyDescent="0.2">
      <c r="A202" s="39">
        <v>199</v>
      </c>
      <c r="AR202" s="25" t="s">
        <v>6</v>
      </c>
      <c r="AS202" s="4" t="s">
        <v>5</v>
      </c>
      <c r="AT202" s="4" t="s">
        <v>27</v>
      </c>
      <c r="AU202" s="4">
        <v>12</v>
      </c>
      <c r="AV202" s="26" t="str">
        <f t="shared" si="44"/>
        <v>LOM-SKY-48h-12</v>
      </c>
    </row>
    <row r="203" spans="1:48" x14ac:dyDescent="0.2">
      <c r="A203" s="39">
        <v>200</v>
      </c>
      <c r="AR203" s="25" t="s">
        <v>6</v>
      </c>
      <c r="AS203" s="4" t="s">
        <v>5</v>
      </c>
      <c r="AT203" s="4" t="s">
        <v>27</v>
      </c>
      <c r="AU203" s="4">
        <v>15</v>
      </c>
      <c r="AV203" s="26" t="str">
        <f t="shared" si="44"/>
        <v>LOM-SKY-48h-15</v>
      </c>
    </row>
    <row r="204" spans="1:48" x14ac:dyDescent="0.2">
      <c r="A204" s="39">
        <v>201</v>
      </c>
      <c r="AR204" s="22" t="s">
        <v>6</v>
      </c>
      <c r="AS204" s="23" t="s">
        <v>29</v>
      </c>
      <c r="AT204" s="23"/>
      <c r="AU204" s="23" t="s">
        <v>30</v>
      </c>
      <c r="AV204" s="24" t="str">
        <f t="shared" si="44"/>
        <v>LOM-BLANK--A</v>
      </c>
    </row>
    <row r="205" spans="1:48" x14ac:dyDescent="0.2">
      <c r="A205" s="39">
        <v>202</v>
      </c>
      <c r="AR205" s="27" t="s">
        <v>6</v>
      </c>
      <c r="AS205" s="28" t="s">
        <v>29</v>
      </c>
      <c r="AT205" s="28"/>
      <c r="AU205" s="28" t="s">
        <v>31</v>
      </c>
      <c r="AV205" s="29" t="str">
        <f t="shared" si="44"/>
        <v>LOM-BLANK--B</v>
      </c>
    </row>
    <row r="206" spans="1:48" x14ac:dyDescent="0.2">
      <c r="A206" s="39">
        <v>203</v>
      </c>
      <c r="AR206" s="25" t="s">
        <v>6</v>
      </c>
      <c r="AS206" s="4" t="s">
        <v>42</v>
      </c>
      <c r="AT206" s="4"/>
      <c r="AU206" s="4" t="s">
        <v>30</v>
      </c>
      <c r="AV206" s="26" t="str">
        <f t="shared" si="44"/>
        <v>LOM-AMBIENT--A</v>
      </c>
    </row>
    <row r="207" spans="1:48" x14ac:dyDescent="0.2">
      <c r="A207" s="39">
        <v>204</v>
      </c>
      <c r="AR207" s="27" t="s">
        <v>6</v>
      </c>
      <c r="AS207" s="28" t="s">
        <v>42</v>
      </c>
      <c r="AT207" s="28"/>
      <c r="AU207" s="28" t="s">
        <v>31</v>
      </c>
      <c r="AV207" s="29" t="str">
        <f t="shared" si="44"/>
        <v>LOM-AMBIENT--B</v>
      </c>
    </row>
  </sheetData>
  <mergeCells count="12">
    <mergeCell ref="AX1:BA1"/>
    <mergeCell ref="AX2:BA2"/>
    <mergeCell ref="B2:F2"/>
    <mergeCell ref="B1:F1"/>
    <mergeCell ref="AJ2:AN2"/>
    <mergeCell ref="AJ1:AN1"/>
    <mergeCell ref="AR1:AV1"/>
    <mergeCell ref="AR2:AV2"/>
    <mergeCell ref="M2:Q2"/>
    <mergeCell ref="M1:Q1"/>
    <mergeCell ref="X2:AB2"/>
    <mergeCell ref="X1:AB1"/>
  </mergeCells>
  <conditionalFormatting sqref="AR1:AR207 AR212:AR1048576">
    <cfRule type="containsText" dxfId="9" priority="1" operator="containsText" text="LOM">
      <formula>NOT(ISERROR(SEARCH("LOM",AR1)))</formula>
    </cfRule>
    <cfRule type="containsText" dxfId="8" priority="2" operator="containsText" text="PAL">
      <formula>NOT(ISERROR(SEARCH("PAL",AR1)))</formula>
    </cfRule>
    <cfRule type="containsText" dxfId="7" priority="3" operator="containsText" text="JCR">
      <formula>NOT(ISERROR(SEARCH("JCR",AR1)))</formula>
    </cfRule>
  </conditionalFormatting>
  <conditionalFormatting sqref="AS1:AS207 AS212:AS1048576">
    <cfRule type="containsText" dxfId="6" priority="4" operator="containsText" text="SKY">
      <formula>NOT(ISERROR(SEARCH("SKY",AS1)))</formula>
    </cfRule>
    <cfRule type="containsText" dxfId="5" priority="5" operator="containsText" text="ROS">
      <formula>NOT(ISERROR(SEARCH("ROS",AS1)))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E0C3-33B7-7147-A33E-8ECEAB02D601}">
  <dimension ref="A1:D25"/>
  <sheetViews>
    <sheetView workbookViewId="0">
      <selection activeCell="A14" sqref="A14:XFD14"/>
    </sheetView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16</v>
      </c>
      <c r="D1" s="1" t="s">
        <v>19</v>
      </c>
    </row>
    <row r="2" spans="1:4" x14ac:dyDescent="0.2">
      <c r="A2" s="40" t="s">
        <v>2</v>
      </c>
      <c r="B2" s="41" t="s">
        <v>3</v>
      </c>
      <c r="C2" s="41" t="s">
        <v>23</v>
      </c>
      <c r="D2" s="42" t="str">
        <f t="shared" ref="D2:D17" si="0">_xlfn.CONCAT(A2,"-",B2,"-",C2)</f>
        <v>JCR-ROS-pre</v>
      </c>
    </row>
    <row r="3" spans="1:4" x14ac:dyDescent="0.2">
      <c r="A3" s="43" t="s">
        <v>2</v>
      </c>
      <c r="B3" s="44" t="s">
        <v>5</v>
      </c>
      <c r="C3" s="44" t="s">
        <v>23</v>
      </c>
      <c r="D3" s="45" t="str">
        <f t="shared" si="0"/>
        <v>JCR-SKY-pre</v>
      </c>
    </row>
    <row r="4" spans="1:4" x14ac:dyDescent="0.2">
      <c r="A4" s="43" t="s">
        <v>2</v>
      </c>
      <c r="B4" s="44" t="s">
        <v>3</v>
      </c>
      <c r="C4" s="44" t="s">
        <v>24</v>
      </c>
      <c r="D4" s="45" t="str">
        <f t="shared" si="0"/>
        <v>JCR-ROS-1h</v>
      </c>
    </row>
    <row r="5" spans="1:4" x14ac:dyDescent="0.2">
      <c r="A5" s="43" t="s">
        <v>2</v>
      </c>
      <c r="B5" s="44" t="s">
        <v>5</v>
      </c>
      <c r="C5" s="44" t="s">
        <v>24</v>
      </c>
      <c r="D5" s="45" t="str">
        <f t="shared" si="0"/>
        <v>JCR-SKY-1h</v>
      </c>
    </row>
    <row r="6" spans="1:4" x14ac:dyDescent="0.2">
      <c r="A6" s="43" t="s">
        <v>2</v>
      </c>
      <c r="B6" s="44" t="s">
        <v>3</v>
      </c>
      <c r="C6" s="44" t="s">
        <v>25</v>
      </c>
      <c r="D6" s="45" t="str">
        <f t="shared" si="0"/>
        <v>JCR-ROS-6h</v>
      </c>
    </row>
    <row r="7" spans="1:4" x14ac:dyDescent="0.2">
      <c r="A7" s="43" t="s">
        <v>2</v>
      </c>
      <c r="B7" s="44" t="s">
        <v>5</v>
      </c>
      <c r="C7" s="44" t="s">
        <v>25</v>
      </c>
      <c r="D7" s="45" t="str">
        <f t="shared" si="0"/>
        <v>JCR-SKY-6h</v>
      </c>
    </row>
    <row r="8" spans="1:4" x14ac:dyDescent="0.2">
      <c r="A8" s="43" t="s">
        <v>2</v>
      </c>
      <c r="B8" s="44" t="s">
        <v>3</v>
      </c>
      <c r="C8" s="44" t="s">
        <v>26</v>
      </c>
      <c r="D8" s="45" t="str">
        <f t="shared" si="0"/>
        <v>JCR-ROS-24h</v>
      </c>
    </row>
    <row r="9" spans="1:4" x14ac:dyDescent="0.2">
      <c r="A9" s="46" t="s">
        <v>2</v>
      </c>
      <c r="B9" s="47" t="s">
        <v>3</v>
      </c>
      <c r="C9" s="47" t="s">
        <v>27</v>
      </c>
      <c r="D9" s="48" t="str">
        <f t="shared" si="0"/>
        <v>JCR-ROS-48h</v>
      </c>
    </row>
    <row r="10" spans="1:4" x14ac:dyDescent="0.2">
      <c r="A10" s="14" t="s">
        <v>7</v>
      </c>
      <c r="B10" s="15" t="s">
        <v>3</v>
      </c>
      <c r="C10" s="15" t="s">
        <v>23</v>
      </c>
      <c r="D10" s="16" t="str">
        <f t="shared" si="0"/>
        <v>PAL-ROS-pre</v>
      </c>
    </row>
    <row r="11" spans="1:4" x14ac:dyDescent="0.2">
      <c r="A11" s="17" t="s">
        <v>7</v>
      </c>
      <c r="B11" s="3" t="s">
        <v>5</v>
      </c>
      <c r="C11" s="3" t="s">
        <v>23</v>
      </c>
      <c r="D11" s="18" t="str">
        <f t="shared" si="0"/>
        <v>PAL-SKY-pre</v>
      </c>
    </row>
    <row r="12" spans="1:4" x14ac:dyDescent="0.2">
      <c r="A12" s="17" t="s">
        <v>7</v>
      </c>
      <c r="B12" s="3" t="s">
        <v>3</v>
      </c>
      <c r="C12" s="3" t="s">
        <v>24</v>
      </c>
      <c r="D12" s="18" t="str">
        <f t="shared" si="0"/>
        <v>PAL-ROS-1h</v>
      </c>
    </row>
    <row r="13" spans="1:4" x14ac:dyDescent="0.2">
      <c r="A13" s="17" t="s">
        <v>7</v>
      </c>
      <c r="B13" s="3" t="s">
        <v>5</v>
      </c>
      <c r="C13" s="3" t="s">
        <v>24</v>
      </c>
      <c r="D13" s="18" t="str">
        <f t="shared" si="0"/>
        <v>PAL-SKY-1h</v>
      </c>
    </row>
    <row r="14" spans="1:4" x14ac:dyDescent="0.2">
      <c r="A14" s="17" t="s">
        <v>7</v>
      </c>
      <c r="B14" s="3" t="s">
        <v>3</v>
      </c>
      <c r="C14" s="3" t="s">
        <v>25</v>
      </c>
      <c r="D14" s="18" t="str">
        <f t="shared" si="0"/>
        <v>PAL-ROS-6h</v>
      </c>
    </row>
    <row r="15" spans="1:4" x14ac:dyDescent="0.2">
      <c r="A15" s="17" t="s">
        <v>7</v>
      </c>
      <c r="B15" s="3" t="s">
        <v>5</v>
      </c>
      <c r="C15" s="3" t="s">
        <v>25</v>
      </c>
      <c r="D15" s="18" t="str">
        <f t="shared" si="0"/>
        <v>PAL-SKY-6h</v>
      </c>
    </row>
    <row r="16" spans="1:4" x14ac:dyDescent="0.2">
      <c r="A16" s="17" t="s">
        <v>7</v>
      </c>
      <c r="B16" s="3" t="s">
        <v>3</v>
      </c>
      <c r="C16" s="3" t="s">
        <v>26</v>
      </c>
      <c r="D16" s="18" t="str">
        <f t="shared" si="0"/>
        <v>PAL-ROS-24h</v>
      </c>
    </row>
    <row r="17" spans="1:4" x14ac:dyDescent="0.2">
      <c r="A17" s="19" t="s">
        <v>7</v>
      </c>
      <c r="B17" s="20" t="s">
        <v>3</v>
      </c>
      <c r="C17" s="20" t="s">
        <v>27</v>
      </c>
      <c r="D17" s="21" t="str">
        <f t="shared" si="0"/>
        <v>PAL-ROS-48h</v>
      </c>
    </row>
    <row r="18" spans="1:4" x14ac:dyDescent="0.2">
      <c r="A18" s="22" t="s">
        <v>6</v>
      </c>
      <c r="B18" s="23" t="s">
        <v>3</v>
      </c>
      <c r="C18" s="23" t="s">
        <v>23</v>
      </c>
      <c r="D18" s="24" t="str">
        <f>_xlfn.CONCAT(A18,"-",B18,"-",C18)</f>
        <v>LOM-ROS-pre</v>
      </c>
    </row>
    <row r="19" spans="1:4" x14ac:dyDescent="0.2">
      <c r="A19" s="25" t="s">
        <v>6</v>
      </c>
      <c r="B19" s="4" t="s">
        <v>5</v>
      </c>
      <c r="C19" s="4" t="s">
        <v>23</v>
      </c>
      <c r="D19" s="26" t="str">
        <f t="shared" ref="D19:D25" si="1">_xlfn.CONCAT(A19,"-",B19,"-",C19)</f>
        <v>LOM-SKY-pre</v>
      </c>
    </row>
    <row r="20" spans="1:4" x14ac:dyDescent="0.2">
      <c r="A20" s="25" t="s">
        <v>6</v>
      </c>
      <c r="B20" s="4" t="s">
        <v>3</v>
      </c>
      <c r="C20" s="4" t="s">
        <v>24</v>
      </c>
      <c r="D20" s="26" t="str">
        <f t="shared" si="1"/>
        <v>LOM-ROS-1h</v>
      </c>
    </row>
    <row r="21" spans="1:4" x14ac:dyDescent="0.2">
      <c r="A21" s="25" t="s">
        <v>6</v>
      </c>
      <c r="B21" s="4" t="s">
        <v>5</v>
      </c>
      <c r="C21" s="4" t="s">
        <v>24</v>
      </c>
      <c r="D21" s="26" t="str">
        <f t="shared" si="1"/>
        <v>LOM-SKY-1h</v>
      </c>
    </row>
    <row r="22" spans="1:4" x14ac:dyDescent="0.2">
      <c r="A22" s="25" t="s">
        <v>6</v>
      </c>
      <c r="B22" s="4" t="s">
        <v>3</v>
      </c>
      <c r="C22" s="4" t="s">
        <v>25</v>
      </c>
      <c r="D22" s="26" t="str">
        <f t="shared" si="1"/>
        <v>LOM-ROS-6h</v>
      </c>
    </row>
    <row r="23" spans="1:4" x14ac:dyDescent="0.2">
      <c r="A23" s="25" t="s">
        <v>6</v>
      </c>
      <c r="B23" s="4" t="s">
        <v>5</v>
      </c>
      <c r="C23" s="4" t="s">
        <v>25</v>
      </c>
      <c r="D23" s="26" t="str">
        <f t="shared" si="1"/>
        <v>LOM-SKY-6h</v>
      </c>
    </row>
    <row r="24" spans="1:4" x14ac:dyDescent="0.2">
      <c r="A24" s="25" t="s">
        <v>6</v>
      </c>
      <c r="B24" s="4" t="s">
        <v>3</v>
      </c>
      <c r="C24" s="4" t="s">
        <v>26</v>
      </c>
      <c r="D24" s="26" t="str">
        <f t="shared" si="1"/>
        <v>LOM-ROS-24h</v>
      </c>
    </row>
    <row r="25" spans="1:4" x14ac:dyDescent="0.2">
      <c r="A25" s="27" t="s">
        <v>6</v>
      </c>
      <c r="B25" s="28" t="s">
        <v>3</v>
      </c>
      <c r="C25" s="28" t="s">
        <v>27</v>
      </c>
      <c r="D25" s="29" t="str">
        <f t="shared" si="1"/>
        <v>LOM-ROS-48h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DD69-4E90-1249-8A2B-E4770D796F3F}">
  <dimension ref="A1:B27"/>
  <sheetViews>
    <sheetView zoomScale="156" workbookViewId="0">
      <selection activeCell="B27" sqref="A1:B27"/>
    </sheetView>
  </sheetViews>
  <sheetFormatPr baseColWidth="10" defaultRowHeight="15" x14ac:dyDescent="0.2"/>
  <cols>
    <col min="1" max="1" width="9.5" customWidth="1"/>
    <col min="2" max="2" width="17.83203125" style="69" customWidth="1"/>
  </cols>
  <sheetData>
    <row r="1" spans="1:2" x14ac:dyDescent="0.2">
      <c r="A1" s="1" t="s">
        <v>211</v>
      </c>
      <c r="B1" s="79" t="s">
        <v>206</v>
      </c>
    </row>
    <row r="2" spans="1:2" x14ac:dyDescent="0.2">
      <c r="A2" s="2" t="s">
        <v>207</v>
      </c>
      <c r="B2" s="80">
        <v>664</v>
      </c>
    </row>
    <row r="3" spans="1:2" x14ac:dyDescent="0.2">
      <c r="A3" s="2" t="s">
        <v>208</v>
      </c>
      <c r="B3" s="80">
        <v>748</v>
      </c>
    </row>
    <row r="4" spans="1:2" x14ac:dyDescent="0.2">
      <c r="A4" s="2" t="s">
        <v>209</v>
      </c>
      <c r="B4" s="80">
        <v>1130</v>
      </c>
    </row>
    <row r="5" spans="1:2" x14ac:dyDescent="0.2">
      <c r="A5" s="2" t="s">
        <v>210</v>
      </c>
      <c r="B5" s="80">
        <v>1300</v>
      </c>
    </row>
    <row r="6" spans="1:2" x14ac:dyDescent="0.2">
      <c r="A6" s="2" t="s">
        <v>212</v>
      </c>
      <c r="B6" s="80">
        <v>1270</v>
      </c>
    </row>
    <row r="7" spans="1:2" x14ac:dyDescent="0.2">
      <c r="A7" s="2" t="s">
        <v>213</v>
      </c>
      <c r="B7" s="80">
        <v>1330</v>
      </c>
    </row>
    <row r="8" spans="1:2" x14ac:dyDescent="0.2">
      <c r="A8" s="2" t="s">
        <v>214</v>
      </c>
      <c r="B8" s="80">
        <v>768</v>
      </c>
    </row>
    <row r="9" spans="1:2" x14ac:dyDescent="0.2">
      <c r="A9" s="2" t="s">
        <v>215</v>
      </c>
      <c r="B9" s="80">
        <v>702</v>
      </c>
    </row>
    <row r="10" spans="1:2" x14ac:dyDescent="0.2">
      <c r="A10" s="2" t="s">
        <v>216</v>
      </c>
      <c r="B10" s="80">
        <v>858</v>
      </c>
    </row>
    <row r="11" spans="1:2" x14ac:dyDescent="0.2">
      <c r="A11" s="2" t="s">
        <v>217</v>
      </c>
      <c r="B11" s="80">
        <v>994</v>
      </c>
    </row>
    <row r="12" spans="1:2" x14ac:dyDescent="0.2">
      <c r="A12" s="2" t="s">
        <v>218</v>
      </c>
      <c r="B12" s="80">
        <v>954</v>
      </c>
    </row>
    <row r="13" spans="1:2" x14ac:dyDescent="0.2">
      <c r="A13" s="2" t="s">
        <v>219</v>
      </c>
      <c r="B13" s="80">
        <v>960</v>
      </c>
    </row>
    <row r="14" spans="1:2" x14ac:dyDescent="0.2">
      <c r="A14" s="2" t="s">
        <v>220</v>
      </c>
      <c r="B14" s="81">
        <v>576</v>
      </c>
    </row>
    <row r="15" spans="1:2" x14ac:dyDescent="0.2">
      <c r="A15" s="2" t="s">
        <v>221</v>
      </c>
      <c r="B15" s="81">
        <v>646</v>
      </c>
    </row>
    <row r="16" spans="1:2" x14ac:dyDescent="0.2">
      <c r="A16" s="2" t="s">
        <v>222</v>
      </c>
      <c r="B16" s="81">
        <v>530</v>
      </c>
    </row>
    <row r="17" spans="1:2" x14ac:dyDescent="0.2">
      <c r="A17" s="4" t="s">
        <v>223</v>
      </c>
      <c r="B17" s="81">
        <v>602</v>
      </c>
    </row>
    <row r="18" spans="1:2" x14ac:dyDescent="0.2">
      <c r="A18" s="4" t="s">
        <v>224</v>
      </c>
      <c r="B18" s="81">
        <v>568</v>
      </c>
    </row>
    <row r="19" spans="1:2" x14ac:dyDescent="0.2">
      <c r="A19" s="4" t="s">
        <v>225</v>
      </c>
      <c r="B19" s="81">
        <v>602</v>
      </c>
    </row>
    <row r="20" spans="1:2" x14ac:dyDescent="0.2">
      <c r="A20" s="4" t="s">
        <v>226</v>
      </c>
      <c r="B20" s="81">
        <v>436</v>
      </c>
    </row>
    <row r="21" spans="1:2" x14ac:dyDescent="0.2">
      <c r="A21" s="4" t="s">
        <v>227</v>
      </c>
      <c r="B21" s="81">
        <v>374</v>
      </c>
    </row>
    <row r="22" spans="1:2" x14ac:dyDescent="0.2">
      <c r="A22" s="4" t="s">
        <v>228</v>
      </c>
      <c r="B22" s="81">
        <v>562</v>
      </c>
    </row>
    <row r="23" spans="1:2" x14ac:dyDescent="0.2">
      <c r="A23" s="4" t="s">
        <v>229</v>
      </c>
      <c r="B23" s="81">
        <v>374</v>
      </c>
    </row>
    <row r="24" spans="1:2" x14ac:dyDescent="0.2">
      <c r="A24" s="4" t="s">
        <v>230</v>
      </c>
      <c r="B24" s="81">
        <v>390</v>
      </c>
    </row>
    <row r="25" spans="1:2" x14ac:dyDescent="0.2">
      <c r="A25" s="4" t="s">
        <v>231</v>
      </c>
      <c r="B25" s="81">
        <v>540</v>
      </c>
    </row>
    <row r="26" spans="1:2" x14ac:dyDescent="0.2">
      <c r="A26" s="75" t="s">
        <v>232</v>
      </c>
      <c r="B26" s="82" t="s">
        <v>205</v>
      </c>
    </row>
    <row r="27" spans="1:2" x14ac:dyDescent="0.2">
      <c r="A27" s="75" t="s">
        <v>233</v>
      </c>
      <c r="B27" s="82" t="s">
        <v>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67AD-4969-644D-B78F-99587A51A7C1}">
  <dimension ref="A1:L89"/>
  <sheetViews>
    <sheetView zoomScale="139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H6" sqref="H6"/>
    </sheetView>
  </sheetViews>
  <sheetFormatPr baseColWidth="10" defaultRowHeight="15" x14ac:dyDescent="0.2"/>
  <cols>
    <col min="2" max="2" width="24.33203125" bestFit="1" customWidth="1"/>
    <col min="5" max="5" width="18.33203125" style="55" bestFit="1" customWidth="1"/>
    <col min="6" max="6" width="17.83203125" style="55" bestFit="1" customWidth="1"/>
    <col min="7" max="7" width="14.6640625" customWidth="1"/>
    <col min="8" max="8" width="19.33203125" style="55" bestFit="1" customWidth="1"/>
    <col min="9" max="9" width="18.83203125" bestFit="1" customWidth="1"/>
    <col min="10" max="10" width="16.5" style="69" bestFit="1" customWidth="1"/>
    <col min="11" max="11" width="12.33203125" bestFit="1" customWidth="1"/>
    <col min="12" max="12" width="12" style="55" customWidth="1"/>
  </cols>
  <sheetData>
    <row r="1" spans="1:12" x14ac:dyDescent="0.2">
      <c r="A1" t="s">
        <v>121</v>
      </c>
      <c r="B1" s="39" t="s">
        <v>19</v>
      </c>
      <c r="C1" s="39" t="s">
        <v>58</v>
      </c>
      <c r="D1" s="39" t="s">
        <v>130</v>
      </c>
      <c r="E1" s="54" t="s">
        <v>124</v>
      </c>
      <c r="F1" s="54" t="s">
        <v>125</v>
      </c>
      <c r="G1" s="39" t="s">
        <v>128</v>
      </c>
      <c r="H1" s="54" t="s">
        <v>126</v>
      </c>
      <c r="I1" s="39" t="s">
        <v>127</v>
      </c>
      <c r="J1" s="68" t="s">
        <v>129</v>
      </c>
      <c r="K1" s="39" t="s">
        <v>131</v>
      </c>
      <c r="L1" s="54" t="s">
        <v>132</v>
      </c>
    </row>
    <row r="2" spans="1:12" x14ac:dyDescent="0.2">
      <c r="A2" t="s">
        <v>122</v>
      </c>
      <c r="B2" s="2" t="s">
        <v>44</v>
      </c>
      <c r="C2">
        <v>6.0259999999999998</v>
      </c>
      <c r="E2" s="55">
        <v>45776.625578703701</v>
      </c>
      <c r="F2" s="55">
        <v>45776.627083333333</v>
      </c>
      <c r="G2">
        <v>3</v>
      </c>
      <c r="H2" s="55" t="s">
        <v>34</v>
      </c>
      <c r="I2" t="s">
        <v>34</v>
      </c>
      <c r="J2" s="69" t="s">
        <v>34</v>
      </c>
      <c r="K2" s="53">
        <v>45776.691666666666</v>
      </c>
      <c r="L2" s="55">
        <v>45776.691666666666</v>
      </c>
    </row>
    <row r="3" spans="1:12" x14ac:dyDescent="0.2">
      <c r="A3" t="s">
        <v>122</v>
      </c>
      <c r="B3" s="10" t="s">
        <v>45</v>
      </c>
      <c r="C3">
        <v>6.0140000000000002</v>
      </c>
      <c r="E3" s="55">
        <v>45776.597222222219</v>
      </c>
      <c r="F3" s="55">
        <v>45776.599305555559</v>
      </c>
      <c r="G3">
        <v>1</v>
      </c>
      <c r="H3" s="55">
        <v>45776.765509259261</v>
      </c>
      <c r="I3" s="53">
        <v>45776.767361111109</v>
      </c>
      <c r="J3" s="69">
        <v>3</v>
      </c>
      <c r="K3" s="53">
        <v>45776.691666666666</v>
      </c>
      <c r="L3" s="55">
        <v>45776.736111111109</v>
      </c>
    </row>
    <row r="4" spans="1:12" x14ac:dyDescent="0.2">
      <c r="A4" t="s">
        <v>122</v>
      </c>
      <c r="B4" s="10" t="s">
        <v>46</v>
      </c>
      <c r="C4">
        <v>6</v>
      </c>
      <c r="D4" t="s">
        <v>148</v>
      </c>
      <c r="E4" s="55">
        <v>45776.601851851854</v>
      </c>
      <c r="F4" s="55">
        <v>45776.604513888888</v>
      </c>
      <c r="G4">
        <v>1</v>
      </c>
      <c r="H4" s="55">
        <v>45777.564814814818</v>
      </c>
      <c r="I4" s="53">
        <v>45777.566319444442</v>
      </c>
      <c r="J4" s="69">
        <v>3</v>
      </c>
      <c r="K4" s="53">
        <v>45776.691666666666</v>
      </c>
      <c r="L4" s="55">
        <v>45776.822916666664</v>
      </c>
    </row>
    <row r="5" spans="1:12" x14ac:dyDescent="0.2">
      <c r="A5" t="s">
        <v>122</v>
      </c>
      <c r="B5" s="10" t="s">
        <v>47</v>
      </c>
      <c r="C5">
        <v>6.0119999999999996</v>
      </c>
      <c r="E5" s="55">
        <v>45776.606481481482</v>
      </c>
      <c r="F5" s="55">
        <v>45776.60833333333</v>
      </c>
      <c r="G5">
        <v>3</v>
      </c>
      <c r="H5" s="55">
        <v>45777.568229166667</v>
      </c>
      <c r="I5" s="53">
        <v>45777.569444444445</v>
      </c>
      <c r="J5" s="69">
        <v>3</v>
      </c>
      <c r="K5" s="53">
        <v>45776.691666666666</v>
      </c>
      <c r="L5" s="55">
        <v>45776.942361111112</v>
      </c>
    </row>
    <row r="6" spans="1:12" x14ac:dyDescent="0.2">
      <c r="A6" t="s">
        <v>122</v>
      </c>
      <c r="B6" s="10" t="s">
        <v>48</v>
      </c>
      <c r="C6">
        <v>6.0039999999999996</v>
      </c>
      <c r="E6" s="55">
        <v>45776.610532407409</v>
      </c>
      <c r="F6" s="55">
        <v>45776.612847222219</v>
      </c>
      <c r="G6">
        <v>3</v>
      </c>
      <c r="H6" s="55">
        <v>45782.636111111111</v>
      </c>
      <c r="I6" s="53">
        <v>45782.637499999997</v>
      </c>
      <c r="J6" s="69">
        <v>3</v>
      </c>
      <c r="K6" s="53">
        <v>45776.691666666666</v>
      </c>
      <c r="L6" s="63">
        <v>45777.71597222222</v>
      </c>
    </row>
    <row r="7" spans="1:12" x14ac:dyDescent="0.2">
      <c r="A7" t="s">
        <v>122</v>
      </c>
      <c r="B7" s="10" t="s">
        <v>49</v>
      </c>
      <c r="C7">
        <v>6.1150000000000002</v>
      </c>
      <c r="E7" s="55">
        <v>45776.615162037036</v>
      </c>
      <c r="F7" s="55">
        <v>45776.616319444445</v>
      </c>
      <c r="G7">
        <v>3</v>
      </c>
      <c r="H7" s="55">
        <v>45782.638888888891</v>
      </c>
      <c r="I7" s="53">
        <v>45782.63958333333</v>
      </c>
      <c r="J7" s="69">
        <v>3</v>
      </c>
      <c r="K7" s="53">
        <v>45776.691666666666</v>
      </c>
      <c r="L7" s="63">
        <v>45778.736111111109</v>
      </c>
    </row>
    <row r="8" spans="1:12" x14ac:dyDescent="0.2">
      <c r="A8" t="s">
        <v>122</v>
      </c>
      <c r="B8" s="13" t="s">
        <v>50</v>
      </c>
      <c r="C8">
        <v>6.0019999999999998</v>
      </c>
      <c r="E8" s="55">
        <v>45776.620138888888</v>
      </c>
      <c r="F8" s="55">
        <v>0.62187499999999996</v>
      </c>
      <c r="G8">
        <v>3</v>
      </c>
      <c r="H8" s="55">
        <v>45782.641319444447</v>
      </c>
      <c r="I8" s="53">
        <v>45782.642013888886</v>
      </c>
      <c r="J8" s="69">
        <v>3</v>
      </c>
      <c r="K8" s="53">
        <v>45776.691666666666</v>
      </c>
      <c r="L8" s="63">
        <v>45779.738194444442</v>
      </c>
    </row>
    <row r="9" spans="1:12" x14ac:dyDescent="0.2">
      <c r="A9" t="s">
        <v>122</v>
      </c>
      <c r="B9" s="8" t="s">
        <v>51</v>
      </c>
      <c r="C9">
        <v>6.5750000000000002</v>
      </c>
      <c r="E9" s="55" t="s">
        <v>34</v>
      </c>
      <c r="F9" s="55" t="s">
        <v>34</v>
      </c>
      <c r="G9" t="s">
        <v>34</v>
      </c>
      <c r="H9" s="55" t="s">
        <v>34</v>
      </c>
      <c r="I9" s="55" t="s">
        <v>34</v>
      </c>
      <c r="K9" s="53">
        <v>45776.695138888892</v>
      </c>
      <c r="L9" s="55">
        <v>45776.695138888892</v>
      </c>
    </row>
    <row r="10" spans="1:12" x14ac:dyDescent="0.2">
      <c r="A10" t="s">
        <v>122</v>
      </c>
      <c r="B10" s="10" t="s">
        <v>52</v>
      </c>
      <c r="C10">
        <v>6.0030000000000001</v>
      </c>
      <c r="H10" s="55">
        <v>45776.771064814813</v>
      </c>
      <c r="I10" s="53">
        <v>45776.772916666669</v>
      </c>
      <c r="J10" s="69">
        <v>3</v>
      </c>
      <c r="K10" s="53">
        <v>45776.695138888892</v>
      </c>
      <c r="L10" s="55">
        <v>45776.742361111108</v>
      </c>
    </row>
    <row r="11" spans="1:12" x14ac:dyDescent="0.2">
      <c r="A11" t="s">
        <v>122</v>
      </c>
      <c r="B11" s="10" t="s">
        <v>53</v>
      </c>
      <c r="C11">
        <v>6.4020000000000001</v>
      </c>
      <c r="H11" s="55">
        <v>45777.571527777778</v>
      </c>
      <c r="I11" s="53">
        <v>45777.573958333334</v>
      </c>
      <c r="J11" s="69">
        <v>3</v>
      </c>
      <c r="K11" s="53">
        <v>45776.695138888892</v>
      </c>
      <c r="L11" s="55">
        <v>45776.822916666664</v>
      </c>
    </row>
    <row r="12" spans="1:12" x14ac:dyDescent="0.2">
      <c r="A12" t="s">
        <v>122</v>
      </c>
      <c r="B12" s="10" t="s">
        <v>54</v>
      </c>
      <c r="C12">
        <v>6.7949999999999999</v>
      </c>
      <c r="H12" s="55">
        <v>45777.575694444444</v>
      </c>
      <c r="I12" s="53">
        <v>45777.577430555553</v>
      </c>
      <c r="J12" s="69">
        <v>3</v>
      </c>
      <c r="K12" s="53">
        <v>45776.695138888892</v>
      </c>
      <c r="L12" s="55">
        <v>45776.942361111112</v>
      </c>
    </row>
    <row r="13" spans="1:12" x14ac:dyDescent="0.2">
      <c r="A13" t="s">
        <v>122</v>
      </c>
      <c r="B13" s="10" t="s">
        <v>55</v>
      </c>
      <c r="C13">
        <v>6.5090000000000003</v>
      </c>
      <c r="H13" s="55">
        <v>45782.643750000003</v>
      </c>
      <c r="I13" s="53">
        <v>45782.644444444442</v>
      </c>
      <c r="J13" s="69">
        <v>3</v>
      </c>
      <c r="K13" s="53">
        <v>45776.695138888892</v>
      </c>
      <c r="L13" s="63">
        <v>45777.71597222222</v>
      </c>
    </row>
    <row r="14" spans="1:12" x14ac:dyDescent="0.2">
      <c r="A14" t="s">
        <v>122</v>
      </c>
      <c r="B14" s="10" t="s">
        <v>56</v>
      </c>
      <c r="C14">
        <v>6.2770000000000001</v>
      </c>
      <c r="H14" s="55">
        <v>45782.64565972222</v>
      </c>
      <c r="I14" s="53">
        <v>45782.646354166667</v>
      </c>
      <c r="J14" s="69">
        <v>3</v>
      </c>
      <c r="K14" s="53">
        <v>45776.695138888892</v>
      </c>
      <c r="L14" s="63">
        <v>45778.736111111109</v>
      </c>
    </row>
    <row r="15" spans="1:12" x14ac:dyDescent="0.2">
      <c r="A15" t="s">
        <v>122</v>
      </c>
      <c r="B15" s="13" t="s">
        <v>57</v>
      </c>
      <c r="C15">
        <v>6.6059999999999999</v>
      </c>
      <c r="H15" s="55">
        <v>45782.647916666669</v>
      </c>
      <c r="I15" s="53">
        <v>45782.648611111108</v>
      </c>
      <c r="J15" s="69">
        <v>3</v>
      </c>
      <c r="K15" s="53">
        <v>45776.695138888892</v>
      </c>
      <c r="L15" s="63">
        <v>45779.738194444442</v>
      </c>
    </row>
    <row r="16" spans="1:12" x14ac:dyDescent="0.2">
      <c r="A16" t="s">
        <v>122</v>
      </c>
      <c r="B16" s="4" t="s">
        <v>59</v>
      </c>
      <c r="C16">
        <v>6.1150000000000002</v>
      </c>
      <c r="E16" s="55">
        <v>45776.643750000003</v>
      </c>
      <c r="F16" s="55">
        <v>45776.646180555559</v>
      </c>
      <c r="G16">
        <v>3</v>
      </c>
      <c r="H16" s="55" t="s">
        <v>34</v>
      </c>
      <c r="I16" t="s">
        <v>34</v>
      </c>
      <c r="J16" s="69" t="s">
        <v>34</v>
      </c>
      <c r="K16" s="53">
        <v>45776.695833333331</v>
      </c>
      <c r="L16" s="55">
        <v>45776.695833333331</v>
      </c>
    </row>
    <row r="17" spans="1:12" x14ac:dyDescent="0.2">
      <c r="A17" t="s">
        <v>122</v>
      </c>
      <c r="B17" s="26" t="s">
        <v>60</v>
      </c>
      <c r="C17">
        <v>6.26</v>
      </c>
      <c r="E17" s="55">
        <v>45776.654513888891</v>
      </c>
      <c r="F17" s="55">
        <v>45776.656828703701</v>
      </c>
      <c r="G17">
        <v>3</v>
      </c>
      <c r="H17" s="55">
        <v>45776.779166666667</v>
      </c>
      <c r="I17" s="55">
        <v>45776.779166666667</v>
      </c>
      <c r="J17" s="69">
        <v>3</v>
      </c>
      <c r="K17" s="53">
        <v>45776.695833333331</v>
      </c>
      <c r="L17" s="55">
        <v>45776.743055555555</v>
      </c>
    </row>
    <row r="18" spans="1:12" x14ac:dyDescent="0.2">
      <c r="A18" t="s">
        <v>122</v>
      </c>
      <c r="B18" s="26" t="s">
        <v>61</v>
      </c>
      <c r="C18">
        <v>6.19</v>
      </c>
      <c r="E18" s="55">
        <v>45776.660879629628</v>
      </c>
      <c r="F18" s="55">
        <v>45776.662615740737</v>
      </c>
      <c r="G18">
        <v>3</v>
      </c>
      <c r="H18" s="55">
        <v>45777.579513888886</v>
      </c>
      <c r="I18" s="53">
        <v>45777.580439814818</v>
      </c>
      <c r="J18" s="69">
        <v>3</v>
      </c>
      <c r="K18" s="53">
        <v>45776.695833333331</v>
      </c>
      <c r="L18" s="55">
        <v>45776.822916666664</v>
      </c>
    </row>
    <row r="19" spans="1:12" x14ac:dyDescent="0.2">
      <c r="A19" t="s">
        <v>122</v>
      </c>
      <c r="B19" s="26" t="s">
        <v>62</v>
      </c>
      <c r="C19">
        <v>6.0350000000000001</v>
      </c>
      <c r="H19" s="55">
        <v>45777.582407407404</v>
      </c>
      <c r="I19" s="53">
        <v>45777.583796296298</v>
      </c>
      <c r="J19" s="69">
        <v>3</v>
      </c>
      <c r="K19" s="53">
        <v>45776.695833333331</v>
      </c>
      <c r="L19" s="55">
        <v>45776.942361111112</v>
      </c>
    </row>
    <row r="20" spans="1:12" x14ac:dyDescent="0.2">
      <c r="A20" t="s">
        <v>122</v>
      </c>
      <c r="B20" s="26" t="s">
        <v>63</v>
      </c>
      <c r="C20">
        <v>6.1840000000000002</v>
      </c>
      <c r="D20" t="s">
        <v>169</v>
      </c>
      <c r="H20" s="55">
        <v>45782.649884259263</v>
      </c>
      <c r="I20" s="53">
        <v>45782.650578703702</v>
      </c>
      <c r="J20" s="69">
        <v>3</v>
      </c>
      <c r="K20" s="53">
        <v>45776.695833333331</v>
      </c>
      <c r="L20" s="63">
        <v>45777.71597222222</v>
      </c>
    </row>
    <row r="21" spans="1:12" x14ac:dyDescent="0.2">
      <c r="A21" t="s">
        <v>122</v>
      </c>
      <c r="B21" s="26" t="s">
        <v>64</v>
      </c>
      <c r="C21">
        <v>6.4329999999999998</v>
      </c>
      <c r="D21" t="s">
        <v>148</v>
      </c>
      <c r="H21" s="55">
        <v>45782.651620370372</v>
      </c>
      <c r="I21" s="53">
        <v>45782.652314814812</v>
      </c>
      <c r="J21" s="69">
        <v>3</v>
      </c>
      <c r="K21" s="53">
        <v>45776.695833333331</v>
      </c>
      <c r="L21" s="63">
        <v>45778.736111111109</v>
      </c>
    </row>
    <row r="22" spans="1:12" x14ac:dyDescent="0.2">
      <c r="A22" t="s">
        <v>122</v>
      </c>
      <c r="B22" s="29" t="s">
        <v>65</v>
      </c>
      <c r="C22">
        <v>6.0979999999999999</v>
      </c>
      <c r="H22" s="55">
        <v>45782.653703703705</v>
      </c>
      <c r="I22" s="53">
        <v>45782.654398148145</v>
      </c>
      <c r="J22" s="69">
        <v>3</v>
      </c>
      <c r="K22" s="53">
        <v>45776.695833333331</v>
      </c>
      <c r="L22" s="63">
        <v>45779.722222222219</v>
      </c>
    </row>
    <row r="23" spans="1:12" x14ac:dyDescent="0.2">
      <c r="A23" t="s">
        <v>122</v>
      </c>
      <c r="B23" s="24" t="s">
        <v>66</v>
      </c>
      <c r="C23">
        <v>6.2149999999999999</v>
      </c>
      <c r="H23" s="55" t="s">
        <v>34</v>
      </c>
      <c r="I23" t="s">
        <v>34</v>
      </c>
      <c r="J23" s="69" t="s">
        <v>34</v>
      </c>
      <c r="K23" s="53">
        <v>45776.697222222225</v>
      </c>
      <c r="L23" s="55">
        <v>45776.697222222225</v>
      </c>
    </row>
    <row r="24" spans="1:12" x14ac:dyDescent="0.2">
      <c r="A24" t="s">
        <v>122</v>
      </c>
      <c r="B24" s="26" t="s">
        <v>67</v>
      </c>
      <c r="C24">
        <v>6.0640000000000001</v>
      </c>
      <c r="H24" s="55">
        <v>45776.785763888889</v>
      </c>
      <c r="I24" s="53">
        <v>45776.787037037036</v>
      </c>
      <c r="J24" s="69">
        <v>3</v>
      </c>
      <c r="K24" s="53">
        <v>45776.697222222225</v>
      </c>
      <c r="L24" s="55">
        <v>45776.746527777781</v>
      </c>
    </row>
    <row r="25" spans="1:12" x14ac:dyDescent="0.2">
      <c r="A25" t="s">
        <v>122</v>
      </c>
      <c r="B25" s="26" t="s">
        <v>68</v>
      </c>
      <c r="C25">
        <v>6.0220000000000002</v>
      </c>
      <c r="H25" s="55">
        <v>45777.585416666669</v>
      </c>
      <c r="I25" s="53">
        <v>45777.586805555555</v>
      </c>
      <c r="J25" s="69">
        <v>3</v>
      </c>
      <c r="K25" s="53">
        <v>45776.697222222225</v>
      </c>
      <c r="L25" s="55">
        <v>45776.822916666664</v>
      </c>
    </row>
    <row r="26" spans="1:12" x14ac:dyDescent="0.2">
      <c r="A26" t="s">
        <v>122</v>
      </c>
      <c r="B26" s="26" t="s">
        <v>69</v>
      </c>
      <c r="C26">
        <v>6.2850000000000001</v>
      </c>
      <c r="H26" s="55">
        <v>45782.633159722223</v>
      </c>
      <c r="I26" s="53">
        <v>45782.634548611109</v>
      </c>
      <c r="J26" s="69">
        <v>3</v>
      </c>
      <c r="K26" s="53">
        <v>45777.490972222222</v>
      </c>
      <c r="L26" s="63">
        <v>45777.739583333336</v>
      </c>
    </row>
    <row r="27" spans="1:12" x14ac:dyDescent="0.2">
      <c r="A27" t="s">
        <v>122</v>
      </c>
      <c r="B27" s="26" t="s">
        <v>70</v>
      </c>
      <c r="C27">
        <v>6.2069999999999999</v>
      </c>
      <c r="H27" s="55">
        <v>45782.655787037038</v>
      </c>
      <c r="I27" s="53">
        <v>45782.656481481485</v>
      </c>
      <c r="J27" s="69">
        <v>3</v>
      </c>
      <c r="K27" s="53">
        <v>45776.697222222225</v>
      </c>
      <c r="L27" s="63">
        <v>45777.71597222222</v>
      </c>
    </row>
    <row r="28" spans="1:12" x14ac:dyDescent="0.2">
      <c r="A28" t="s">
        <v>122</v>
      </c>
      <c r="B28" s="26" t="s">
        <v>71</v>
      </c>
      <c r="C28">
        <v>6.0380000000000003</v>
      </c>
      <c r="H28" s="55">
        <v>45782.658796296295</v>
      </c>
      <c r="I28" s="53">
        <v>45782.659490740742</v>
      </c>
      <c r="J28" s="69">
        <v>3</v>
      </c>
      <c r="K28" s="53">
        <v>45776.697222222225</v>
      </c>
      <c r="L28" s="63">
        <v>45778.736111111109</v>
      </c>
    </row>
    <row r="29" spans="1:12" x14ac:dyDescent="0.2">
      <c r="A29" t="s">
        <v>122</v>
      </c>
      <c r="B29" s="29" t="s">
        <v>72</v>
      </c>
      <c r="C29">
        <v>6.0110000000000001</v>
      </c>
      <c r="H29" s="55">
        <v>45782.663194444445</v>
      </c>
      <c r="I29" s="53">
        <v>45782.663888888892</v>
      </c>
      <c r="J29" s="69">
        <v>3</v>
      </c>
      <c r="K29" s="53">
        <v>45776.697222222225</v>
      </c>
      <c r="L29" s="63">
        <v>45779.722222222219</v>
      </c>
    </row>
    <row r="30" spans="1:12" x14ac:dyDescent="0.2">
      <c r="A30" t="s">
        <v>123</v>
      </c>
      <c r="B30" s="10" t="s">
        <v>73</v>
      </c>
      <c r="C30">
        <v>6.2619999999999996</v>
      </c>
      <c r="H30" s="55">
        <v>45782.667013888888</v>
      </c>
      <c r="I30" s="53">
        <v>45782.667708333334</v>
      </c>
      <c r="J30" s="69">
        <v>3</v>
      </c>
      <c r="K30" s="53">
        <v>45776.723611111112</v>
      </c>
      <c r="L30" s="63">
        <v>45777.725694444445</v>
      </c>
    </row>
    <row r="31" spans="1:12" x14ac:dyDescent="0.2">
      <c r="A31" t="s">
        <v>123</v>
      </c>
      <c r="B31" s="10" t="s">
        <v>74</v>
      </c>
      <c r="C31">
        <v>6.24</v>
      </c>
      <c r="D31" t="s">
        <v>170</v>
      </c>
      <c r="H31" s="55">
        <v>45782.668749999997</v>
      </c>
      <c r="I31" s="53">
        <v>45782.669444444444</v>
      </c>
      <c r="J31" s="69">
        <v>3</v>
      </c>
      <c r="K31" s="53">
        <v>45776.723611111112</v>
      </c>
      <c r="L31" s="63">
        <v>45778.708333333336</v>
      </c>
    </row>
    <row r="32" spans="1:12" x14ac:dyDescent="0.2">
      <c r="A32" t="s">
        <v>123</v>
      </c>
      <c r="B32" s="13" t="s">
        <v>75</v>
      </c>
      <c r="C32">
        <v>6.0090000000000003</v>
      </c>
      <c r="H32" s="55">
        <v>45782.670659722222</v>
      </c>
      <c r="I32" s="53">
        <v>45782.671354166669</v>
      </c>
      <c r="J32" s="69">
        <v>3</v>
      </c>
      <c r="K32" s="53">
        <v>45776.723611111112</v>
      </c>
      <c r="L32" s="63">
        <v>45779.722222222219</v>
      </c>
    </row>
    <row r="33" spans="1:12" x14ac:dyDescent="0.2">
      <c r="A33" t="s">
        <v>123</v>
      </c>
      <c r="B33" s="10" t="s">
        <v>139</v>
      </c>
      <c r="C33">
        <v>6.08</v>
      </c>
      <c r="K33" s="53">
        <v>45776.723611111112</v>
      </c>
      <c r="L33" s="63">
        <v>45777.725694444445</v>
      </c>
    </row>
    <row r="34" spans="1:12" x14ac:dyDescent="0.2">
      <c r="A34" t="s">
        <v>123</v>
      </c>
      <c r="B34" s="10" t="s">
        <v>140</v>
      </c>
      <c r="C34">
        <v>6.2009999999999996</v>
      </c>
      <c r="K34" s="53">
        <v>45776.723611111112</v>
      </c>
      <c r="L34" s="63">
        <v>45778.708333333336</v>
      </c>
    </row>
    <row r="35" spans="1:12" x14ac:dyDescent="0.2">
      <c r="A35" t="s">
        <v>123</v>
      </c>
      <c r="B35" s="13" t="s">
        <v>141</v>
      </c>
      <c r="C35">
        <v>6.085</v>
      </c>
      <c r="K35" s="53">
        <v>45776.723611111112</v>
      </c>
      <c r="L35" s="63">
        <v>45779.722222222219</v>
      </c>
    </row>
    <row r="36" spans="1:12" x14ac:dyDescent="0.2">
      <c r="A36" t="s">
        <v>123</v>
      </c>
      <c r="B36" s="10" t="s">
        <v>76</v>
      </c>
      <c r="C36">
        <v>6.5780000000000003</v>
      </c>
      <c r="H36" s="55">
        <v>45782.672453703701</v>
      </c>
      <c r="I36" s="53">
        <v>45782.673148148147</v>
      </c>
      <c r="J36" s="69">
        <v>3</v>
      </c>
      <c r="K36" s="53">
        <v>45776.720833333333</v>
      </c>
      <c r="L36" s="63">
        <v>45777.725694444445</v>
      </c>
    </row>
    <row r="37" spans="1:12" x14ac:dyDescent="0.2">
      <c r="A37" t="s">
        <v>123</v>
      </c>
      <c r="B37" s="10" t="s">
        <v>77</v>
      </c>
      <c r="C37">
        <v>6.6059999999999999</v>
      </c>
      <c r="H37" s="55">
        <v>45782.674305555556</v>
      </c>
      <c r="I37" s="53">
        <v>45782.675000000003</v>
      </c>
      <c r="J37" s="69">
        <v>3</v>
      </c>
      <c r="K37" s="53">
        <v>45776.720833333333</v>
      </c>
      <c r="L37" s="63">
        <v>45778.708333333336</v>
      </c>
    </row>
    <row r="38" spans="1:12" x14ac:dyDescent="0.2">
      <c r="A38" t="s">
        <v>123</v>
      </c>
      <c r="B38" s="13" t="s">
        <v>78</v>
      </c>
      <c r="C38">
        <v>6.1929999999999996</v>
      </c>
      <c r="H38" s="55">
        <v>45782.677083333336</v>
      </c>
      <c r="I38" s="53">
        <v>45782.677777777775</v>
      </c>
      <c r="J38" s="69">
        <v>3</v>
      </c>
      <c r="K38" s="53">
        <v>45776.720833333333</v>
      </c>
      <c r="L38" s="63">
        <v>45779.722222222219</v>
      </c>
    </row>
    <row r="39" spans="1:12" x14ac:dyDescent="0.2">
      <c r="A39" t="s">
        <v>123</v>
      </c>
      <c r="B39" s="10" t="s">
        <v>136</v>
      </c>
      <c r="C39">
        <v>6.2229999999999999</v>
      </c>
      <c r="K39" s="53">
        <v>45776.720833333333</v>
      </c>
      <c r="L39" s="63">
        <v>45777.725694444445</v>
      </c>
    </row>
    <row r="40" spans="1:12" x14ac:dyDescent="0.2">
      <c r="A40" t="s">
        <v>123</v>
      </c>
      <c r="B40" s="10" t="s">
        <v>137</v>
      </c>
      <c r="C40">
        <v>6.1660000000000004</v>
      </c>
      <c r="K40" s="53">
        <v>45776.720833333333</v>
      </c>
      <c r="L40" s="63">
        <v>45778.708333333336</v>
      </c>
    </row>
    <row r="41" spans="1:12" x14ac:dyDescent="0.2">
      <c r="A41" t="s">
        <v>123</v>
      </c>
      <c r="B41" s="13" t="s">
        <v>138</v>
      </c>
      <c r="C41">
        <v>6.0209999999999999</v>
      </c>
      <c r="K41" s="53">
        <v>45776.720833333333</v>
      </c>
      <c r="L41" s="63">
        <v>45779.722222222219</v>
      </c>
    </row>
    <row r="42" spans="1:12" x14ac:dyDescent="0.2">
      <c r="A42" t="s">
        <v>123</v>
      </c>
      <c r="B42" s="26" t="s">
        <v>142</v>
      </c>
      <c r="C42">
        <v>6.1029999999999998</v>
      </c>
      <c r="K42" s="53">
        <v>45776.723611111112</v>
      </c>
      <c r="L42" s="63">
        <v>45777.725694444445</v>
      </c>
    </row>
    <row r="43" spans="1:12" x14ac:dyDescent="0.2">
      <c r="A43" t="s">
        <v>123</v>
      </c>
      <c r="B43" s="26" t="s">
        <v>143</v>
      </c>
      <c r="C43">
        <v>6.0720000000000001</v>
      </c>
      <c r="K43" s="53">
        <v>45776.723611111112</v>
      </c>
      <c r="L43" s="63">
        <v>45778.708333333336</v>
      </c>
    </row>
    <row r="44" spans="1:12" x14ac:dyDescent="0.2">
      <c r="A44" t="s">
        <v>123</v>
      </c>
      <c r="B44" s="29" t="s">
        <v>144</v>
      </c>
      <c r="C44">
        <v>6.0469999999999997</v>
      </c>
      <c r="K44" s="53">
        <v>45776.723611111112</v>
      </c>
      <c r="L44" s="63">
        <v>45779.722222222219</v>
      </c>
    </row>
    <row r="45" spans="1:12" x14ac:dyDescent="0.2">
      <c r="A45" t="s">
        <v>123</v>
      </c>
      <c r="B45" s="26" t="s">
        <v>79</v>
      </c>
      <c r="C45">
        <v>6.0119999999999996</v>
      </c>
      <c r="H45" s="55">
        <v>45782.679456018515</v>
      </c>
      <c r="I45" s="53">
        <v>45782.680150462962</v>
      </c>
      <c r="J45" s="69">
        <v>3</v>
      </c>
      <c r="K45" s="53">
        <v>45776.723611111112</v>
      </c>
      <c r="L45" s="63">
        <v>45777.725694444445</v>
      </c>
    </row>
    <row r="46" spans="1:12" x14ac:dyDescent="0.2">
      <c r="A46" t="s">
        <v>123</v>
      </c>
      <c r="B46" s="26" t="s">
        <v>80</v>
      </c>
      <c r="C46">
        <v>6.1719999999999997</v>
      </c>
      <c r="H46" s="55">
        <v>45782.681770833333</v>
      </c>
      <c r="I46" s="53">
        <v>45782.68246527778</v>
      </c>
      <c r="J46" s="69">
        <v>3</v>
      </c>
      <c r="K46" s="53">
        <v>45776.723611111112</v>
      </c>
      <c r="L46" s="63">
        <v>45778.708333333336</v>
      </c>
    </row>
    <row r="47" spans="1:12" x14ac:dyDescent="0.2">
      <c r="A47" t="s">
        <v>123</v>
      </c>
      <c r="B47" s="29" t="s">
        <v>81</v>
      </c>
      <c r="C47">
        <v>6.03</v>
      </c>
      <c r="H47" s="55">
        <v>45782.684953703705</v>
      </c>
      <c r="I47" s="53">
        <v>45782.685648148145</v>
      </c>
      <c r="J47" s="69">
        <v>3</v>
      </c>
      <c r="K47" s="53">
        <v>45776.723611111112</v>
      </c>
      <c r="L47" s="63">
        <v>45779.722222222219</v>
      </c>
    </row>
    <row r="48" spans="1:12" x14ac:dyDescent="0.2">
      <c r="A48" t="s">
        <v>123</v>
      </c>
      <c r="B48" s="26" t="s">
        <v>145</v>
      </c>
      <c r="C48">
        <v>6.1849999999999996</v>
      </c>
      <c r="K48" s="53">
        <v>45776.720833333333</v>
      </c>
      <c r="L48" s="63">
        <v>45777.725694444445</v>
      </c>
    </row>
    <row r="49" spans="1:12" x14ac:dyDescent="0.2">
      <c r="A49" t="s">
        <v>123</v>
      </c>
      <c r="B49" s="26" t="s">
        <v>146</v>
      </c>
      <c r="C49">
        <v>6.0350000000000001</v>
      </c>
      <c r="K49" s="53">
        <v>45776.720833333333</v>
      </c>
      <c r="L49" s="63">
        <v>45778.708333333336</v>
      </c>
    </row>
    <row r="50" spans="1:12" x14ac:dyDescent="0.2">
      <c r="A50" t="s">
        <v>123</v>
      </c>
      <c r="B50" s="29" t="s">
        <v>147</v>
      </c>
      <c r="C50">
        <v>6.1139999999999999</v>
      </c>
      <c r="K50" s="53">
        <v>45776.720833333333</v>
      </c>
      <c r="L50" s="63">
        <v>45779.722222222219</v>
      </c>
    </row>
    <row r="51" spans="1:12" x14ac:dyDescent="0.2">
      <c r="A51" t="s">
        <v>123</v>
      </c>
      <c r="B51" s="26" t="s">
        <v>82</v>
      </c>
      <c r="C51">
        <v>6.2510000000000003</v>
      </c>
      <c r="H51" s="55">
        <v>45782.687268518515</v>
      </c>
      <c r="I51" s="53">
        <v>45782.687962962962</v>
      </c>
      <c r="J51" s="69">
        <v>3</v>
      </c>
      <c r="K51" s="53">
        <v>45776.720833333333</v>
      </c>
      <c r="L51" s="63">
        <v>45777.725694444445</v>
      </c>
    </row>
    <row r="52" spans="1:12" x14ac:dyDescent="0.2">
      <c r="A52" t="s">
        <v>123</v>
      </c>
      <c r="B52" s="26" t="s">
        <v>83</v>
      </c>
      <c r="C52">
        <v>6.0419999999999998</v>
      </c>
      <c r="H52" s="55">
        <v>45782.689409722225</v>
      </c>
      <c r="I52" s="53">
        <v>45782.690104166664</v>
      </c>
      <c r="J52" s="69">
        <v>3</v>
      </c>
      <c r="K52" s="53">
        <v>45776.720833333333</v>
      </c>
      <c r="L52" s="63">
        <v>45778.708333333336</v>
      </c>
    </row>
    <row r="53" spans="1:12" x14ac:dyDescent="0.2">
      <c r="A53" t="s">
        <v>123</v>
      </c>
      <c r="B53" s="29" t="s">
        <v>84</v>
      </c>
      <c r="C53">
        <v>6.1589999999999998</v>
      </c>
      <c r="H53" s="55">
        <v>45782.691087962965</v>
      </c>
      <c r="I53" s="53">
        <v>45782.691782407404</v>
      </c>
      <c r="J53" s="69">
        <v>3</v>
      </c>
      <c r="K53" s="53">
        <v>45776.720833333333</v>
      </c>
      <c r="L53" s="63">
        <v>45779.722222222219</v>
      </c>
    </row>
    <row r="54" spans="1:12" x14ac:dyDescent="0.2">
      <c r="A54" t="s">
        <v>38</v>
      </c>
      <c r="B54" s="52" t="s">
        <v>85</v>
      </c>
      <c r="C54">
        <v>0.318</v>
      </c>
      <c r="E54" s="55" t="s">
        <v>34</v>
      </c>
      <c r="F54" s="55" t="s">
        <v>34</v>
      </c>
      <c r="G54" t="s">
        <v>34</v>
      </c>
      <c r="H54" s="55" t="s">
        <v>34</v>
      </c>
      <c r="I54" t="s">
        <v>34</v>
      </c>
      <c r="J54" s="69" t="s">
        <v>34</v>
      </c>
    </row>
    <row r="55" spans="1:12" x14ac:dyDescent="0.2">
      <c r="A55" t="s">
        <v>38</v>
      </c>
      <c r="B55" s="52" t="s">
        <v>86</v>
      </c>
      <c r="C55">
        <v>0.308</v>
      </c>
      <c r="E55" s="55" t="s">
        <v>34</v>
      </c>
      <c r="F55" s="55" t="s">
        <v>34</v>
      </c>
      <c r="G55" t="s">
        <v>34</v>
      </c>
      <c r="H55" s="55" t="s">
        <v>34</v>
      </c>
      <c r="I55" t="s">
        <v>34</v>
      </c>
      <c r="J55" s="69" t="s">
        <v>34</v>
      </c>
    </row>
    <row r="56" spans="1:12" x14ac:dyDescent="0.2">
      <c r="A56" t="s">
        <v>38</v>
      </c>
      <c r="B56" s="52" t="s">
        <v>87</v>
      </c>
      <c r="C56">
        <v>0.33</v>
      </c>
      <c r="E56" s="55" t="s">
        <v>34</v>
      </c>
      <c r="F56" s="55" t="s">
        <v>34</v>
      </c>
      <c r="G56" t="s">
        <v>34</v>
      </c>
      <c r="H56" s="55" t="s">
        <v>34</v>
      </c>
      <c r="I56" t="s">
        <v>34</v>
      </c>
      <c r="J56" s="69" t="s">
        <v>34</v>
      </c>
    </row>
    <row r="57" spans="1:12" x14ac:dyDescent="0.2">
      <c r="A57" t="s">
        <v>38</v>
      </c>
      <c r="B57" s="52" t="s">
        <v>88</v>
      </c>
      <c r="C57">
        <v>0.308</v>
      </c>
      <c r="E57" s="55" t="s">
        <v>34</v>
      </c>
      <c r="F57" s="55" t="s">
        <v>34</v>
      </c>
      <c r="G57" t="s">
        <v>34</v>
      </c>
      <c r="H57" s="55" t="s">
        <v>34</v>
      </c>
      <c r="I57" t="s">
        <v>34</v>
      </c>
      <c r="J57" s="69" t="s">
        <v>34</v>
      </c>
    </row>
    <row r="58" spans="1:12" x14ac:dyDescent="0.2">
      <c r="A58" t="s">
        <v>38</v>
      </c>
      <c r="B58" s="52" t="s">
        <v>89</v>
      </c>
      <c r="C58">
        <v>0.313</v>
      </c>
      <c r="E58" s="55" t="s">
        <v>34</v>
      </c>
      <c r="F58" s="55" t="s">
        <v>34</v>
      </c>
      <c r="G58" t="s">
        <v>34</v>
      </c>
      <c r="H58" s="55" t="s">
        <v>34</v>
      </c>
      <c r="I58" t="s">
        <v>34</v>
      </c>
      <c r="J58" s="69" t="s">
        <v>34</v>
      </c>
    </row>
    <row r="59" spans="1:12" x14ac:dyDescent="0.2">
      <c r="A59" t="s">
        <v>38</v>
      </c>
      <c r="B59" s="52" t="s">
        <v>90</v>
      </c>
      <c r="C59">
        <v>0.3</v>
      </c>
      <c r="E59" s="55" t="s">
        <v>34</v>
      </c>
      <c r="F59" s="55" t="s">
        <v>34</v>
      </c>
      <c r="G59" t="s">
        <v>34</v>
      </c>
      <c r="H59" s="55" t="s">
        <v>34</v>
      </c>
      <c r="I59" t="s">
        <v>34</v>
      </c>
      <c r="J59" s="69" t="s">
        <v>34</v>
      </c>
    </row>
    <row r="60" spans="1:12" x14ac:dyDescent="0.2">
      <c r="A60" t="s">
        <v>38</v>
      </c>
      <c r="B60" s="52" t="s">
        <v>91</v>
      </c>
      <c r="C60">
        <v>0.3</v>
      </c>
      <c r="E60" s="55" t="s">
        <v>34</v>
      </c>
      <c r="F60" s="55" t="s">
        <v>34</v>
      </c>
      <c r="G60" t="s">
        <v>34</v>
      </c>
      <c r="H60" s="55" t="s">
        <v>34</v>
      </c>
      <c r="I60" t="s">
        <v>34</v>
      </c>
      <c r="J60" s="69" t="s">
        <v>34</v>
      </c>
    </row>
    <row r="61" spans="1:12" x14ac:dyDescent="0.2">
      <c r="A61" t="s">
        <v>38</v>
      </c>
      <c r="B61" s="52" t="s">
        <v>92</v>
      </c>
      <c r="C61">
        <v>0.30499999999999999</v>
      </c>
      <c r="E61" s="55" t="s">
        <v>34</v>
      </c>
      <c r="F61" s="55" t="s">
        <v>34</v>
      </c>
      <c r="G61" t="s">
        <v>34</v>
      </c>
      <c r="H61" s="55" t="s">
        <v>34</v>
      </c>
      <c r="I61" t="s">
        <v>34</v>
      </c>
      <c r="J61" s="69" t="s">
        <v>34</v>
      </c>
    </row>
    <row r="62" spans="1:12" x14ac:dyDescent="0.2">
      <c r="A62" t="s">
        <v>38</v>
      </c>
      <c r="B62" s="52" t="s">
        <v>93</v>
      </c>
      <c r="C62">
        <v>0.314</v>
      </c>
      <c r="E62" s="55" t="s">
        <v>34</v>
      </c>
      <c r="F62" s="55" t="s">
        <v>34</v>
      </c>
      <c r="G62" t="s">
        <v>34</v>
      </c>
      <c r="H62" s="55" t="s">
        <v>34</v>
      </c>
      <c r="I62" t="s">
        <v>34</v>
      </c>
      <c r="J62" s="69" t="s">
        <v>34</v>
      </c>
    </row>
    <row r="63" spans="1:12" x14ac:dyDescent="0.2">
      <c r="A63" t="s">
        <v>38</v>
      </c>
      <c r="B63" s="52" t="s">
        <v>94</v>
      </c>
      <c r="C63">
        <v>0.307</v>
      </c>
      <c r="E63" s="55" t="s">
        <v>34</v>
      </c>
      <c r="F63" s="55" t="s">
        <v>34</v>
      </c>
      <c r="G63" t="s">
        <v>34</v>
      </c>
      <c r="H63" s="55" t="s">
        <v>34</v>
      </c>
      <c r="I63" t="s">
        <v>34</v>
      </c>
      <c r="J63" s="69" t="s">
        <v>34</v>
      </c>
    </row>
    <row r="64" spans="1:12" x14ac:dyDescent="0.2">
      <c r="A64" t="s">
        <v>38</v>
      </c>
      <c r="B64" s="52" t="s">
        <v>95</v>
      </c>
      <c r="C64">
        <v>0.30099999999999999</v>
      </c>
      <c r="E64" s="55" t="s">
        <v>34</v>
      </c>
      <c r="F64" s="55" t="s">
        <v>34</v>
      </c>
      <c r="G64" t="s">
        <v>34</v>
      </c>
      <c r="H64" s="55" t="s">
        <v>34</v>
      </c>
      <c r="I64" t="s">
        <v>34</v>
      </c>
      <c r="J64" s="69" t="s">
        <v>34</v>
      </c>
    </row>
    <row r="65" spans="1:10" x14ac:dyDescent="0.2">
      <c r="A65" t="s">
        <v>38</v>
      </c>
      <c r="B65" s="52" t="s">
        <v>96</v>
      </c>
      <c r="C65">
        <v>0.3</v>
      </c>
      <c r="E65" s="55" t="s">
        <v>34</v>
      </c>
      <c r="F65" s="55" t="s">
        <v>34</v>
      </c>
      <c r="G65" t="s">
        <v>34</v>
      </c>
      <c r="H65" s="55" t="s">
        <v>34</v>
      </c>
      <c r="I65" t="s">
        <v>34</v>
      </c>
      <c r="J65" s="69" t="s">
        <v>34</v>
      </c>
    </row>
    <row r="66" spans="1:10" x14ac:dyDescent="0.2">
      <c r="A66" t="s">
        <v>38</v>
      </c>
      <c r="B66" s="52" t="s">
        <v>97</v>
      </c>
      <c r="C66">
        <v>0.3</v>
      </c>
      <c r="E66" s="55" t="s">
        <v>34</v>
      </c>
      <c r="F66" s="55" t="s">
        <v>34</v>
      </c>
      <c r="G66" t="s">
        <v>34</v>
      </c>
      <c r="H66" s="55" t="s">
        <v>34</v>
      </c>
      <c r="I66" t="s">
        <v>34</v>
      </c>
      <c r="J66" s="69" t="s">
        <v>34</v>
      </c>
    </row>
    <row r="67" spans="1:10" x14ac:dyDescent="0.2">
      <c r="A67" t="s">
        <v>38</v>
      </c>
      <c r="B67" s="52" t="s">
        <v>98</v>
      </c>
      <c r="C67">
        <v>0.31</v>
      </c>
      <c r="E67" s="55" t="s">
        <v>34</v>
      </c>
      <c r="F67" s="55" t="s">
        <v>34</v>
      </c>
      <c r="G67" t="s">
        <v>34</v>
      </c>
      <c r="H67" s="55" t="s">
        <v>34</v>
      </c>
      <c r="I67" t="s">
        <v>34</v>
      </c>
      <c r="J67" s="69" t="s">
        <v>34</v>
      </c>
    </row>
    <row r="68" spans="1:10" x14ac:dyDescent="0.2">
      <c r="A68" t="s">
        <v>38</v>
      </c>
      <c r="B68" s="52" t="s">
        <v>99</v>
      </c>
      <c r="C68">
        <v>0.315</v>
      </c>
      <c r="E68" s="55" t="s">
        <v>34</v>
      </c>
      <c r="F68" s="55" t="s">
        <v>34</v>
      </c>
      <c r="G68" t="s">
        <v>34</v>
      </c>
      <c r="H68" s="55" t="s">
        <v>34</v>
      </c>
      <c r="I68" t="s">
        <v>34</v>
      </c>
      <c r="J68" s="69" t="s">
        <v>34</v>
      </c>
    </row>
    <row r="69" spans="1:10" x14ac:dyDescent="0.2">
      <c r="A69" t="s">
        <v>38</v>
      </c>
      <c r="B69" s="52" t="s">
        <v>100</v>
      </c>
      <c r="C69">
        <v>0.30399999999999999</v>
      </c>
      <c r="E69" s="55" t="s">
        <v>34</v>
      </c>
      <c r="F69" s="55" t="s">
        <v>34</v>
      </c>
      <c r="G69" t="s">
        <v>34</v>
      </c>
      <c r="H69" s="55" t="s">
        <v>34</v>
      </c>
      <c r="I69" t="s">
        <v>34</v>
      </c>
      <c r="J69" s="69" t="s">
        <v>34</v>
      </c>
    </row>
    <row r="70" spans="1:10" x14ac:dyDescent="0.2">
      <c r="A70" t="s">
        <v>38</v>
      </c>
      <c r="B70" s="52" t="s">
        <v>101</v>
      </c>
      <c r="C70">
        <v>0.31</v>
      </c>
      <c r="E70" s="55" t="s">
        <v>34</v>
      </c>
      <c r="F70" s="55" t="s">
        <v>34</v>
      </c>
      <c r="G70" t="s">
        <v>34</v>
      </c>
      <c r="H70" s="55" t="s">
        <v>34</v>
      </c>
      <c r="I70" t="s">
        <v>34</v>
      </c>
      <c r="J70" s="69" t="s">
        <v>34</v>
      </c>
    </row>
    <row r="71" spans="1:10" x14ac:dyDescent="0.2">
      <c r="A71" t="s">
        <v>38</v>
      </c>
      <c r="B71" s="52" t="s">
        <v>102</v>
      </c>
      <c r="C71">
        <v>0.31</v>
      </c>
      <c r="E71" s="55" t="s">
        <v>34</v>
      </c>
      <c r="F71" s="55" t="s">
        <v>34</v>
      </c>
      <c r="G71" t="s">
        <v>34</v>
      </c>
      <c r="H71" s="55" t="s">
        <v>34</v>
      </c>
      <c r="I71" t="s">
        <v>34</v>
      </c>
      <c r="J71" s="69" t="s">
        <v>34</v>
      </c>
    </row>
    <row r="72" spans="1:10" x14ac:dyDescent="0.2">
      <c r="A72" t="s">
        <v>38</v>
      </c>
      <c r="B72" s="4" t="s">
        <v>103</v>
      </c>
      <c r="C72">
        <v>0.30299999999999999</v>
      </c>
      <c r="E72" s="55" t="s">
        <v>34</v>
      </c>
      <c r="F72" s="55" t="s">
        <v>34</v>
      </c>
      <c r="G72" t="s">
        <v>34</v>
      </c>
      <c r="H72" s="55" t="s">
        <v>34</v>
      </c>
      <c r="I72" t="s">
        <v>34</v>
      </c>
      <c r="J72" s="69" t="s">
        <v>34</v>
      </c>
    </row>
    <row r="73" spans="1:10" x14ac:dyDescent="0.2">
      <c r="A73" t="s">
        <v>38</v>
      </c>
      <c r="B73" s="4" t="s">
        <v>104</v>
      </c>
      <c r="C73">
        <v>0.30499999999999999</v>
      </c>
      <c r="E73" s="55" t="s">
        <v>34</v>
      </c>
      <c r="F73" s="55" t="s">
        <v>34</v>
      </c>
      <c r="G73" t="s">
        <v>34</v>
      </c>
      <c r="H73" s="55" t="s">
        <v>34</v>
      </c>
      <c r="I73" t="s">
        <v>34</v>
      </c>
      <c r="J73" s="69" t="s">
        <v>34</v>
      </c>
    </row>
    <row r="74" spans="1:10" x14ac:dyDescent="0.2">
      <c r="A74" t="s">
        <v>38</v>
      </c>
      <c r="B74" s="4" t="s">
        <v>105</v>
      </c>
      <c r="C74">
        <v>0.309</v>
      </c>
      <c r="E74" s="55" t="s">
        <v>34</v>
      </c>
      <c r="F74" s="55" t="s">
        <v>34</v>
      </c>
      <c r="G74" t="s">
        <v>34</v>
      </c>
      <c r="H74" s="55" t="s">
        <v>34</v>
      </c>
      <c r="I74" t="s">
        <v>34</v>
      </c>
      <c r="J74" s="69" t="s">
        <v>34</v>
      </c>
    </row>
    <row r="75" spans="1:10" x14ac:dyDescent="0.2">
      <c r="A75" t="s">
        <v>38</v>
      </c>
      <c r="B75" s="4" t="s">
        <v>106</v>
      </c>
      <c r="C75">
        <v>0.315</v>
      </c>
      <c r="E75" s="55" t="s">
        <v>34</v>
      </c>
      <c r="F75" s="55" t="s">
        <v>34</v>
      </c>
      <c r="G75" t="s">
        <v>34</v>
      </c>
      <c r="H75" s="55" t="s">
        <v>34</v>
      </c>
      <c r="I75" t="s">
        <v>34</v>
      </c>
      <c r="J75" s="69" t="s">
        <v>34</v>
      </c>
    </row>
    <row r="76" spans="1:10" x14ac:dyDescent="0.2">
      <c r="A76" t="s">
        <v>38</v>
      </c>
      <c r="B76" s="4" t="s">
        <v>107</v>
      </c>
      <c r="C76">
        <v>0.309</v>
      </c>
      <c r="E76" s="55" t="s">
        <v>34</v>
      </c>
      <c r="F76" s="55" t="s">
        <v>34</v>
      </c>
      <c r="G76" t="s">
        <v>34</v>
      </c>
      <c r="H76" s="55" t="s">
        <v>34</v>
      </c>
      <c r="I76" t="s">
        <v>34</v>
      </c>
      <c r="J76" s="69" t="s">
        <v>34</v>
      </c>
    </row>
    <row r="77" spans="1:10" x14ac:dyDescent="0.2">
      <c r="A77" t="s">
        <v>38</v>
      </c>
      <c r="B77" s="4" t="s">
        <v>108</v>
      </c>
      <c r="C77">
        <v>0.316</v>
      </c>
      <c r="E77" s="55" t="s">
        <v>34</v>
      </c>
      <c r="F77" s="55" t="s">
        <v>34</v>
      </c>
      <c r="G77" t="s">
        <v>34</v>
      </c>
      <c r="H77" s="55" t="s">
        <v>34</v>
      </c>
      <c r="I77" t="s">
        <v>34</v>
      </c>
      <c r="J77" s="69" t="s">
        <v>34</v>
      </c>
    </row>
    <row r="78" spans="1:10" x14ac:dyDescent="0.2">
      <c r="A78" t="s">
        <v>38</v>
      </c>
      <c r="B78" s="4" t="s">
        <v>109</v>
      </c>
      <c r="C78">
        <v>0.30199999999999999</v>
      </c>
      <c r="E78" s="55" t="s">
        <v>34</v>
      </c>
      <c r="F78" s="55" t="s">
        <v>34</v>
      </c>
      <c r="G78" t="s">
        <v>34</v>
      </c>
      <c r="H78" s="55" t="s">
        <v>34</v>
      </c>
      <c r="I78" t="s">
        <v>34</v>
      </c>
      <c r="J78" s="69" t="s">
        <v>34</v>
      </c>
    </row>
    <row r="79" spans="1:10" x14ac:dyDescent="0.2">
      <c r="A79" t="s">
        <v>38</v>
      </c>
      <c r="B79" s="4" t="s">
        <v>110</v>
      </c>
      <c r="C79">
        <v>0.30199999999999999</v>
      </c>
      <c r="E79" s="55" t="s">
        <v>34</v>
      </c>
      <c r="F79" s="55" t="s">
        <v>34</v>
      </c>
      <c r="G79" t="s">
        <v>34</v>
      </c>
      <c r="H79" s="55" t="s">
        <v>34</v>
      </c>
      <c r="I79" t="s">
        <v>34</v>
      </c>
      <c r="J79" s="69" t="s">
        <v>34</v>
      </c>
    </row>
    <row r="80" spans="1:10" x14ac:dyDescent="0.2">
      <c r="A80" t="s">
        <v>38</v>
      </c>
      <c r="B80" s="4" t="s">
        <v>111</v>
      </c>
      <c r="C80">
        <v>0.309</v>
      </c>
      <c r="E80" s="55" t="s">
        <v>34</v>
      </c>
      <c r="F80" s="55" t="s">
        <v>34</v>
      </c>
      <c r="G80" t="s">
        <v>34</v>
      </c>
      <c r="H80" s="55" t="s">
        <v>34</v>
      </c>
      <c r="I80" t="s">
        <v>34</v>
      </c>
      <c r="J80" s="69" t="s">
        <v>34</v>
      </c>
    </row>
    <row r="81" spans="1:10" x14ac:dyDescent="0.2">
      <c r="A81" t="s">
        <v>38</v>
      </c>
      <c r="B81" s="4" t="s">
        <v>112</v>
      </c>
      <c r="C81">
        <v>0.308</v>
      </c>
      <c r="E81" s="55" t="s">
        <v>34</v>
      </c>
      <c r="F81" s="55" t="s">
        <v>34</v>
      </c>
      <c r="G81" t="s">
        <v>34</v>
      </c>
      <c r="H81" s="55" t="s">
        <v>34</v>
      </c>
      <c r="I81" t="s">
        <v>34</v>
      </c>
      <c r="J81" s="69" t="s">
        <v>34</v>
      </c>
    </row>
    <row r="82" spans="1:10" x14ac:dyDescent="0.2">
      <c r="A82" t="s">
        <v>38</v>
      </c>
      <c r="B82" s="4" t="s">
        <v>113</v>
      </c>
      <c r="C82">
        <v>0.317</v>
      </c>
      <c r="E82" s="55" t="s">
        <v>34</v>
      </c>
      <c r="F82" s="55" t="s">
        <v>34</v>
      </c>
      <c r="G82" t="s">
        <v>34</v>
      </c>
      <c r="H82" s="55" t="s">
        <v>34</v>
      </c>
      <c r="I82" t="s">
        <v>34</v>
      </c>
      <c r="J82" s="69" t="s">
        <v>34</v>
      </c>
    </row>
    <row r="83" spans="1:10" x14ac:dyDescent="0.2">
      <c r="A83" t="s">
        <v>38</v>
      </c>
      <c r="B83" s="4" t="s">
        <v>114</v>
      </c>
      <c r="C83">
        <v>0.309</v>
      </c>
      <c r="E83" s="55" t="s">
        <v>34</v>
      </c>
      <c r="F83" s="55" t="s">
        <v>34</v>
      </c>
      <c r="G83" t="s">
        <v>34</v>
      </c>
      <c r="H83" s="55" t="s">
        <v>34</v>
      </c>
      <c r="I83" t="s">
        <v>34</v>
      </c>
      <c r="J83" s="69" t="s">
        <v>34</v>
      </c>
    </row>
    <row r="84" spans="1:10" x14ac:dyDescent="0.2">
      <c r="A84" t="s">
        <v>38</v>
      </c>
      <c r="B84" s="4" t="s">
        <v>115</v>
      </c>
      <c r="C84">
        <v>0.312</v>
      </c>
      <c r="E84" s="55" t="s">
        <v>34</v>
      </c>
      <c r="F84" s="55" t="s">
        <v>34</v>
      </c>
      <c r="G84" t="s">
        <v>34</v>
      </c>
      <c r="H84" s="55" t="s">
        <v>34</v>
      </c>
      <c r="I84" t="s">
        <v>34</v>
      </c>
      <c r="J84" s="69" t="s">
        <v>34</v>
      </c>
    </row>
    <row r="85" spans="1:10" x14ac:dyDescent="0.2">
      <c r="A85" t="s">
        <v>38</v>
      </c>
      <c r="B85" s="4" t="s">
        <v>116</v>
      </c>
      <c r="C85">
        <v>0.313</v>
      </c>
      <c r="E85" s="55" t="s">
        <v>34</v>
      </c>
      <c r="F85" s="55" t="s">
        <v>34</v>
      </c>
      <c r="G85" t="s">
        <v>34</v>
      </c>
      <c r="H85" s="55" t="s">
        <v>34</v>
      </c>
      <c r="I85" t="s">
        <v>34</v>
      </c>
      <c r="J85" s="69" t="s">
        <v>34</v>
      </c>
    </row>
    <row r="86" spans="1:10" x14ac:dyDescent="0.2">
      <c r="A86" t="s">
        <v>38</v>
      </c>
      <c r="B86" s="4" t="s">
        <v>117</v>
      </c>
      <c r="C86">
        <v>0.29899999999999999</v>
      </c>
      <c r="E86" s="55" t="s">
        <v>34</v>
      </c>
      <c r="F86" s="55" t="s">
        <v>34</v>
      </c>
      <c r="G86" t="s">
        <v>34</v>
      </c>
      <c r="H86" s="55" t="s">
        <v>34</v>
      </c>
      <c r="I86" t="s">
        <v>34</v>
      </c>
      <c r="J86" s="69" t="s">
        <v>34</v>
      </c>
    </row>
    <row r="87" spans="1:10" x14ac:dyDescent="0.2">
      <c r="A87" t="s">
        <v>38</v>
      </c>
      <c r="B87" s="4" t="s">
        <v>118</v>
      </c>
      <c r="C87">
        <v>0.30499999999999999</v>
      </c>
      <c r="E87" s="55" t="s">
        <v>34</v>
      </c>
      <c r="F87" s="55" t="s">
        <v>34</v>
      </c>
      <c r="G87" t="s">
        <v>34</v>
      </c>
      <c r="H87" s="55" t="s">
        <v>34</v>
      </c>
      <c r="I87" t="s">
        <v>34</v>
      </c>
      <c r="J87" s="69" t="s">
        <v>34</v>
      </c>
    </row>
    <row r="88" spans="1:10" x14ac:dyDescent="0.2">
      <c r="A88" t="s">
        <v>38</v>
      </c>
      <c r="B88" s="4" t="s">
        <v>119</v>
      </c>
      <c r="C88">
        <v>0.313</v>
      </c>
      <c r="E88" s="55" t="s">
        <v>34</v>
      </c>
      <c r="F88" s="55" t="s">
        <v>34</v>
      </c>
      <c r="G88" t="s">
        <v>34</v>
      </c>
      <c r="H88" s="55" t="s">
        <v>34</v>
      </c>
      <c r="I88" t="s">
        <v>34</v>
      </c>
      <c r="J88" s="69" t="s">
        <v>34</v>
      </c>
    </row>
    <row r="89" spans="1:10" x14ac:dyDescent="0.2">
      <c r="A89" t="s">
        <v>38</v>
      </c>
      <c r="B89" s="4" t="s">
        <v>120</v>
      </c>
      <c r="C89">
        <v>0.308</v>
      </c>
      <c r="E89" s="55" t="s">
        <v>34</v>
      </c>
      <c r="F89" s="55" t="s">
        <v>34</v>
      </c>
      <c r="G89" t="s">
        <v>34</v>
      </c>
      <c r="H89" s="55" t="s">
        <v>34</v>
      </c>
      <c r="I89" t="s">
        <v>34</v>
      </c>
      <c r="J89" s="69" t="s">
        <v>34</v>
      </c>
    </row>
  </sheetData>
  <conditionalFormatting sqref="A1:A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C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H51:I1048576 H1:I47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1:J47 J51:J1048576">
    <cfRule type="colorScale" priority="5">
      <colorScale>
        <cfvo type="min"/>
        <cfvo type="max"/>
        <color rgb="FFFCFCFF"/>
        <color rgb="FF63BE7B"/>
      </colorScale>
    </cfRule>
  </conditionalFormatting>
  <conditionalFormatting sqref="K1:K1048576">
    <cfRule type="colorScale" priority="4">
      <colorScale>
        <cfvo type="min"/>
        <cfvo type="max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1:L1048576">
    <cfRule type="colorScale" priority="3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24EF-EE54-1548-AB9E-492A73B1D1E0}">
  <dimension ref="A1:E208"/>
  <sheetViews>
    <sheetView zoomScale="174" workbookViewId="0">
      <selection activeCell="F3" sqref="F3"/>
    </sheetView>
  </sheetViews>
  <sheetFormatPr baseColWidth="10" defaultRowHeight="15" x14ac:dyDescent="0.2"/>
  <cols>
    <col min="1" max="1" width="8.83203125"/>
    <col min="2" max="2" width="9" customWidth="1"/>
    <col min="3" max="4" width="8.83203125"/>
    <col min="5" max="5" width="21.6640625" customWidth="1"/>
  </cols>
  <sheetData>
    <row r="1" spans="1:5" x14ac:dyDescent="0.2">
      <c r="A1" s="86" t="s">
        <v>18</v>
      </c>
      <c r="B1" s="86"/>
      <c r="C1" s="86"/>
      <c r="D1" s="86"/>
      <c r="E1" s="86"/>
    </row>
    <row r="2" spans="1:5" ht="62" customHeight="1" x14ac:dyDescent="0.2">
      <c r="A2" s="87" t="s">
        <v>149</v>
      </c>
      <c r="B2" s="87"/>
      <c r="C2" s="87"/>
      <c r="D2" s="87"/>
      <c r="E2" s="87"/>
    </row>
    <row r="3" spans="1:5" ht="83" customHeight="1" x14ac:dyDescent="0.2">
      <c r="A3" s="90" t="s">
        <v>151</v>
      </c>
      <c r="B3" s="90"/>
      <c r="C3" s="90"/>
      <c r="D3" s="90"/>
      <c r="E3" s="90"/>
    </row>
    <row r="4" spans="1:5" x14ac:dyDescent="0.2">
      <c r="A4" s="1" t="s">
        <v>0</v>
      </c>
      <c r="B4" s="1" t="s">
        <v>1</v>
      </c>
      <c r="C4" s="1" t="s">
        <v>16</v>
      </c>
      <c r="D4" s="1" t="s">
        <v>150</v>
      </c>
      <c r="E4" s="1" t="s">
        <v>19</v>
      </c>
    </row>
    <row r="5" spans="1:5" x14ac:dyDescent="0.2">
      <c r="A5" s="6" t="s">
        <v>2</v>
      </c>
      <c r="B5" s="7" t="s">
        <v>3</v>
      </c>
      <c r="C5" s="7" t="s">
        <v>23</v>
      </c>
      <c r="D5" s="7">
        <v>1</v>
      </c>
      <c r="E5" s="8" t="str">
        <f t="shared" ref="E5:E28" si="0">_xlfn.CONCAT(A5,"-",B5,"-",C5,"-",D5)</f>
        <v>JCR-ROS-pre-1</v>
      </c>
    </row>
    <row r="6" spans="1:5" x14ac:dyDescent="0.2">
      <c r="A6" s="9" t="s">
        <v>2</v>
      </c>
      <c r="B6" s="2" t="s">
        <v>3</v>
      </c>
      <c r="C6" s="2" t="s">
        <v>23</v>
      </c>
      <c r="D6" s="2">
        <v>2</v>
      </c>
      <c r="E6" s="10" t="str">
        <f t="shared" si="0"/>
        <v>JCR-ROS-pre-2</v>
      </c>
    </row>
    <row r="7" spans="1:5" x14ac:dyDescent="0.2">
      <c r="A7" s="9" t="s">
        <v>2</v>
      </c>
      <c r="B7" s="2" t="s">
        <v>3</v>
      </c>
      <c r="C7" s="2" t="s">
        <v>23</v>
      </c>
      <c r="D7" s="2">
        <v>3</v>
      </c>
      <c r="E7" s="10" t="str">
        <f t="shared" si="0"/>
        <v>JCR-ROS-pre-3</v>
      </c>
    </row>
    <row r="8" spans="1:5" x14ac:dyDescent="0.2">
      <c r="A8" s="9" t="s">
        <v>2</v>
      </c>
      <c r="B8" s="2" t="s">
        <v>3</v>
      </c>
      <c r="C8" s="2" t="s">
        <v>23</v>
      </c>
      <c r="D8" s="2">
        <v>8</v>
      </c>
      <c r="E8" s="10" t="str">
        <f t="shared" si="0"/>
        <v>JCR-ROS-pre-8</v>
      </c>
    </row>
    <row r="9" spans="1:5" x14ac:dyDescent="0.2">
      <c r="A9" s="9" t="s">
        <v>2</v>
      </c>
      <c r="B9" s="2" t="s">
        <v>3</v>
      </c>
      <c r="C9" s="2" t="s">
        <v>23</v>
      </c>
      <c r="D9" s="2">
        <v>12</v>
      </c>
      <c r="E9" s="10" t="str">
        <f t="shared" si="0"/>
        <v>JCR-ROS-pre-12</v>
      </c>
    </row>
    <row r="10" spans="1:5" x14ac:dyDescent="0.2">
      <c r="A10" s="11" t="s">
        <v>2</v>
      </c>
      <c r="B10" s="12" t="s">
        <v>3</v>
      </c>
      <c r="C10" s="12" t="s">
        <v>23</v>
      </c>
      <c r="D10" s="12">
        <v>15</v>
      </c>
      <c r="E10" s="13" t="str">
        <f t="shared" si="0"/>
        <v>JCR-ROS-pre-15</v>
      </c>
    </row>
    <row r="11" spans="1:5" x14ac:dyDescent="0.2">
      <c r="A11" s="6" t="s">
        <v>2</v>
      </c>
      <c r="B11" s="7" t="s">
        <v>5</v>
      </c>
      <c r="C11" s="7" t="s">
        <v>23</v>
      </c>
      <c r="D11" s="7">
        <v>1</v>
      </c>
      <c r="E11" s="8" t="str">
        <f t="shared" si="0"/>
        <v>JCR-SKY-pre-1</v>
      </c>
    </row>
    <row r="12" spans="1:5" x14ac:dyDescent="0.2">
      <c r="A12" s="9" t="s">
        <v>2</v>
      </c>
      <c r="B12" s="2" t="s">
        <v>5</v>
      </c>
      <c r="C12" s="2" t="s">
        <v>23</v>
      </c>
      <c r="D12" s="2">
        <v>2</v>
      </c>
      <c r="E12" s="10" t="str">
        <f t="shared" si="0"/>
        <v>JCR-SKY-pre-2</v>
      </c>
    </row>
    <row r="13" spans="1:5" x14ac:dyDescent="0.2">
      <c r="A13" s="9" t="s">
        <v>2</v>
      </c>
      <c r="B13" s="2" t="s">
        <v>5</v>
      </c>
      <c r="C13" s="2" t="s">
        <v>23</v>
      </c>
      <c r="D13" s="2">
        <v>3</v>
      </c>
      <c r="E13" s="10" t="str">
        <f t="shared" si="0"/>
        <v>JCR-SKY-pre-3</v>
      </c>
    </row>
    <row r="14" spans="1:5" x14ac:dyDescent="0.2">
      <c r="A14" s="9" t="s">
        <v>2</v>
      </c>
      <c r="B14" s="2" t="s">
        <v>5</v>
      </c>
      <c r="C14" s="2" t="s">
        <v>23</v>
      </c>
      <c r="D14" s="2">
        <v>8</v>
      </c>
      <c r="E14" s="10" t="str">
        <f t="shared" si="0"/>
        <v>JCR-SKY-pre-8</v>
      </c>
    </row>
    <row r="15" spans="1:5" x14ac:dyDescent="0.2">
      <c r="A15" s="9" t="s">
        <v>2</v>
      </c>
      <c r="B15" s="2" t="s">
        <v>5</v>
      </c>
      <c r="C15" s="2" t="s">
        <v>23</v>
      </c>
      <c r="D15" s="2">
        <v>12</v>
      </c>
      <c r="E15" s="10" t="str">
        <f t="shared" si="0"/>
        <v>JCR-SKY-pre-12</v>
      </c>
    </row>
    <row r="16" spans="1:5" x14ac:dyDescent="0.2">
      <c r="A16" s="11" t="s">
        <v>2</v>
      </c>
      <c r="B16" s="12" t="s">
        <v>5</v>
      </c>
      <c r="C16" s="12" t="s">
        <v>23</v>
      </c>
      <c r="D16" s="12">
        <v>15</v>
      </c>
      <c r="E16" s="13" t="str">
        <f t="shared" si="0"/>
        <v>JCR-SKY-pre-15</v>
      </c>
    </row>
    <row r="17" spans="1:5" x14ac:dyDescent="0.2">
      <c r="A17" s="6" t="s">
        <v>2</v>
      </c>
      <c r="B17" s="7" t="s">
        <v>3</v>
      </c>
      <c r="C17" s="7" t="s">
        <v>43</v>
      </c>
      <c r="D17" s="7">
        <v>1</v>
      </c>
      <c r="E17" s="8" t="str">
        <f t="shared" si="0"/>
        <v>JCR-ROS-0.5hr-1</v>
      </c>
    </row>
    <row r="18" spans="1:5" x14ac:dyDescent="0.2">
      <c r="A18" s="9" t="s">
        <v>2</v>
      </c>
      <c r="B18" s="2" t="s">
        <v>3</v>
      </c>
      <c r="C18" s="2" t="s">
        <v>43</v>
      </c>
      <c r="D18" s="2">
        <v>2</v>
      </c>
      <c r="E18" s="10" t="str">
        <f t="shared" si="0"/>
        <v>JCR-ROS-0.5hr-2</v>
      </c>
    </row>
    <row r="19" spans="1:5" x14ac:dyDescent="0.2">
      <c r="A19" s="9" t="s">
        <v>2</v>
      </c>
      <c r="B19" s="2" t="s">
        <v>3</v>
      </c>
      <c r="C19" s="2" t="s">
        <v>43</v>
      </c>
      <c r="D19" s="2">
        <v>3</v>
      </c>
      <c r="E19" s="10" t="str">
        <f t="shared" si="0"/>
        <v>JCR-ROS-0.5hr-3</v>
      </c>
    </row>
    <row r="20" spans="1:5" x14ac:dyDescent="0.2">
      <c r="A20" s="9" t="s">
        <v>2</v>
      </c>
      <c r="B20" s="2" t="s">
        <v>3</v>
      </c>
      <c r="C20" s="2" t="s">
        <v>43</v>
      </c>
      <c r="D20" s="2">
        <v>8</v>
      </c>
      <c r="E20" s="10" t="str">
        <f t="shared" si="0"/>
        <v>JCR-ROS-0.5hr-8</v>
      </c>
    </row>
    <row r="21" spans="1:5" x14ac:dyDescent="0.2">
      <c r="A21" s="9" t="s">
        <v>2</v>
      </c>
      <c r="B21" s="2" t="s">
        <v>3</v>
      </c>
      <c r="C21" s="2" t="s">
        <v>43</v>
      </c>
      <c r="D21" s="2">
        <v>12</v>
      </c>
      <c r="E21" s="10" t="str">
        <f t="shared" si="0"/>
        <v>JCR-ROS-0.5hr-12</v>
      </c>
    </row>
    <row r="22" spans="1:5" x14ac:dyDescent="0.2">
      <c r="A22" s="11" t="s">
        <v>2</v>
      </c>
      <c r="B22" s="12" t="s">
        <v>3</v>
      </c>
      <c r="C22" s="12" t="s">
        <v>43</v>
      </c>
      <c r="D22" s="12">
        <v>15</v>
      </c>
      <c r="E22" s="13" t="str">
        <f t="shared" si="0"/>
        <v>JCR-ROS-0.5hr-15</v>
      </c>
    </row>
    <row r="23" spans="1:5" x14ac:dyDescent="0.2">
      <c r="A23" s="6" t="s">
        <v>2</v>
      </c>
      <c r="B23" s="7" t="s">
        <v>5</v>
      </c>
      <c r="C23" s="7" t="s">
        <v>43</v>
      </c>
      <c r="D23" s="7">
        <v>1</v>
      </c>
      <c r="E23" s="8" t="str">
        <f t="shared" si="0"/>
        <v>JCR-SKY-0.5hr-1</v>
      </c>
    </row>
    <row r="24" spans="1:5" x14ac:dyDescent="0.2">
      <c r="A24" s="9" t="s">
        <v>2</v>
      </c>
      <c r="B24" s="2" t="s">
        <v>5</v>
      </c>
      <c r="C24" s="2" t="s">
        <v>43</v>
      </c>
      <c r="D24" s="2">
        <v>2</v>
      </c>
      <c r="E24" s="10" t="str">
        <f t="shared" si="0"/>
        <v>JCR-SKY-0.5hr-2</v>
      </c>
    </row>
    <row r="25" spans="1:5" x14ac:dyDescent="0.2">
      <c r="A25" s="9" t="s">
        <v>2</v>
      </c>
      <c r="B25" s="2" t="s">
        <v>5</v>
      </c>
      <c r="C25" s="2" t="s">
        <v>43</v>
      </c>
      <c r="D25" s="2">
        <v>3</v>
      </c>
      <c r="E25" s="10" t="str">
        <f t="shared" si="0"/>
        <v>JCR-SKY-0.5hr-3</v>
      </c>
    </row>
    <row r="26" spans="1:5" x14ac:dyDescent="0.2">
      <c r="A26" s="9" t="s">
        <v>2</v>
      </c>
      <c r="B26" s="2" t="s">
        <v>5</v>
      </c>
      <c r="C26" s="2" t="s">
        <v>43</v>
      </c>
      <c r="D26" s="2">
        <v>8</v>
      </c>
      <c r="E26" s="10" t="str">
        <f t="shared" si="0"/>
        <v>JCR-SKY-0.5hr-8</v>
      </c>
    </row>
    <row r="27" spans="1:5" x14ac:dyDescent="0.2">
      <c r="A27" s="9" t="s">
        <v>2</v>
      </c>
      <c r="B27" s="2" t="s">
        <v>5</v>
      </c>
      <c r="C27" s="2" t="s">
        <v>43</v>
      </c>
      <c r="D27" s="2">
        <v>12</v>
      </c>
      <c r="E27" s="10" t="str">
        <f t="shared" si="0"/>
        <v>JCR-SKY-0.5hr-12</v>
      </c>
    </row>
    <row r="28" spans="1:5" x14ac:dyDescent="0.2">
      <c r="A28" s="11" t="s">
        <v>2</v>
      </c>
      <c r="B28" s="12" t="s">
        <v>5</v>
      </c>
      <c r="C28" s="12" t="s">
        <v>43</v>
      </c>
      <c r="D28" s="12">
        <v>15</v>
      </c>
      <c r="E28" s="13" t="str">
        <f t="shared" si="0"/>
        <v>JCR-SKY-0.5hr-15</v>
      </c>
    </row>
    <row r="29" spans="1:5" x14ac:dyDescent="0.2">
      <c r="A29" s="6" t="s">
        <v>2</v>
      </c>
      <c r="B29" s="7" t="s">
        <v>3</v>
      </c>
      <c r="C29" s="7" t="s">
        <v>24</v>
      </c>
      <c r="D29" s="7">
        <v>1</v>
      </c>
      <c r="E29" s="8" t="str">
        <f>_xlfn.CONCAT(A29,"-",B29,"-",C29,"-",D29)</f>
        <v>JCR-ROS-1h-1</v>
      </c>
    </row>
    <row r="30" spans="1:5" x14ac:dyDescent="0.2">
      <c r="A30" s="9" t="s">
        <v>2</v>
      </c>
      <c r="B30" s="2" t="s">
        <v>3</v>
      </c>
      <c r="C30" s="2" t="s">
        <v>24</v>
      </c>
      <c r="D30" s="2">
        <v>2</v>
      </c>
      <c r="E30" s="10" t="str">
        <f t="shared" ref="E30:E34" si="1">_xlfn.CONCAT(A30,"-",B30,"-",C30,"-",D30)</f>
        <v>JCR-ROS-1h-2</v>
      </c>
    </row>
    <row r="31" spans="1:5" x14ac:dyDescent="0.2">
      <c r="A31" s="9" t="s">
        <v>2</v>
      </c>
      <c r="B31" s="2" t="s">
        <v>3</v>
      </c>
      <c r="C31" s="2" t="s">
        <v>24</v>
      </c>
      <c r="D31" s="2">
        <v>3</v>
      </c>
      <c r="E31" s="10" t="str">
        <f t="shared" si="1"/>
        <v>JCR-ROS-1h-3</v>
      </c>
    </row>
    <row r="32" spans="1:5" x14ac:dyDescent="0.2">
      <c r="A32" s="9" t="s">
        <v>2</v>
      </c>
      <c r="B32" s="2" t="s">
        <v>3</v>
      </c>
      <c r="C32" s="2" t="s">
        <v>24</v>
      </c>
      <c r="D32" s="2">
        <v>8</v>
      </c>
      <c r="E32" s="10" t="str">
        <f t="shared" si="1"/>
        <v>JCR-ROS-1h-8</v>
      </c>
    </row>
    <row r="33" spans="1:5" x14ac:dyDescent="0.2">
      <c r="A33" s="9" t="s">
        <v>2</v>
      </c>
      <c r="B33" s="2" t="s">
        <v>3</v>
      </c>
      <c r="C33" s="2" t="s">
        <v>24</v>
      </c>
      <c r="D33" s="2">
        <v>12</v>
      </c>
      <c r="E33" s="10" t="str">
        <f t="shared" si="1"/>
        <v>JCR-ROS-1h-12</v>
      </c>
    </row>
    <row r="34" spans="1:5" x14ac:dyDescent="0.2">
      <c r="A34" s="11" t="s">
        <v>2</v>
      </c>
      <c r="B34" s="12" t="s">
        <v>3</v>
      </c>
      <c r="C34" s="12" t="s">
        <v>24</v>
      </c>
      <c r="D34" s="12">
        <v>15</v>
      </c>
      <c r="E34" s="13" t="str">
        <f t="shared" si="1"/>
        <v>JCR-ROS-1h-15</v>
      </c>
    </row>
    <row r="35" spans="1:5" x14ac:dyDescent="0.2">
      <c r="A35" s="6" t="s">
        <v>2</v>
      </c>
      <c r="B35" s="7" t="s">
        <v>5</v>
      </c>
      <c r="C35" s="7" t="s">
        <v>24</v>
      </c>
      <c r="D35" s="7">
        <v>1</v>
      </c>
      <c r="E35" s="8" t="str">
        <f>_xlfn.CONCAT(A35,"-",B35,"-",C35,"-",D35)</f>
        <v>JCR-SKY-1h-1</v>
      </c>
    </row>
    <row r="36" spans="1:5" x14ac:dyDescent="0.2">
      <c r="A36" s="9" t="s">
        <v>2</v>
      </c>
      <c r="B36" s="2" t="s">
        <v>5</v>
      </c>
      <c r="C36" s="2" t="s">
        <v>24</v>
      </c>
      <c r="D36" s="2">
        <v>2</v>
      </c>
      <c r="E36" s="10" t="str">
        <f t="shared" ref="E36:E40" si="2">_xlfn.CONCAT(A36,"-",B36,"-",C36,"-",D36)</f>
        <v>JCR-SKY-1h-2</v>
      </c>
    </row>
    <row r="37" spans="1:5" x14ac:dyDescent="0.2">
      <c r="A37" s="9" t="s">
        <v>2</v>
      </c>
      <c r="B37" s="2" t="s">
        <v>5</v>
      </c>
      <c r="C37" s="2" t="s">
        <v>24</v>
      </c>
      <c r="D37" s="2">
        <v>3</v>
      </c>
      <c r="E37" s="10" t="str">
        <f t="shared" si="2"/>
        <v>JCR-SKY-1h-3</v>
      </c>
    </row>
    <row r="38" spans="1:5" x14ac:dyDescent="0.2">
      <c r="A38" s="9" t="s">
        <v>2</v>
      </c>
      <c r="B38" s="2" t="s">
        <v>5</v>
      </c>
      <c r="C38" s="2" t="s">
        <v>24</v>
      </c>
      <c r="D38" s="2">
        <v>8</v>
      </c>
      <c r="E38" s="10" t="str">
        <f t="shared" si="2"/>
        <v>JCR-SKY-1h-8</v>
      </c>
    </row>
    <row r="39" spans="1:5" x14ac:dyDescent="0.2">
      <c r="A39" s="9" t="s">
        <v>2</v>
      </c>
      <c r="B39" s="2" t="s">
        <v>5</v>
      </c>
      <c r="C39" s="2" t="s">
        <v>24</v>
      </c>
      <c r="D39" s="2">
        <v>12</v>
      </c>
      <c r="E39" s="10" t="str">
        <f t="shared" si="2"/>
        <v>JCR-SKY-1h-12</v>
      </c>
    </row>
    <row r="40" spans="1:5" x14ac:dyDescent="0.2">
      <c r="A40" s="11" t="s">
        <v>2</v>
      </c>
      <c r="B40" s="12" t="s">
        <v>5</v>
      </c>
      <c r="C40" s="12" t="s">
        <v>24</v>
      </c>
      <c r="D40" s="12">
        <v>15</v>
      </c>
      <c r="E40" s="13" t="str">
        <f t="shared" si="2"/>
        <v>JCR-SKY-1h-15</v>
      </c>
    </row>
    <row r="41" spans="1:5" x14ac:dyDescent="0.2">
      <c r="A41" s="6" t="s">
        <v>2</v>
      </c>
      <c r="B41" s="7" t="s">
        <v>3</v>
      </c>
      <c r="C41" s="7" t="s">
        <v>25</v>
      </c>
      <c r="D41" s="7">
        <v>1</v>
      </c>
      <c r="E41" s="8" t="str">
        <f>_xlfn.CONCAT(A41,"-",B41,"-",C41,"-",D41)</f>
        <v>JCR-ROS-6h-1</v>
      </c>
    </row>
    <row r="42" spans="1:5" x14ac:dyDescent="0.2">
      <c r="A42" s="9" t="s">
        <v>2</v>
      </c>
      <c r="B42" s="2" t="s">
        <v>3</v>
      </c>
      <c r="C42" s="2" t="s">
        <v>25</v>
      </c>
      <c r="D42" s="2">
        <v>2</v>
      </c>
      <c r="E42" s="10" t="str">
        <f t="shared" ref="E42:E46" si="3">_xlfn.CONCAT(A42,"-",B42,"-",C42,"-",D42)</f>
        <v>JCR-ROS-6h-2</v>
      </c>
    </row>
    <row r="43" spans="1:5" x14ac:dyDescent="0.2">
      <c r="A43" s="9" t="s">
        <v>2</v>
      </c>
      <c r="B43" s="2" t="s">
        <v>3</v>
      </c>
      <c r="C43" s="2" t="s">
        <v>25</v>
      </c>
      <c r="D43" s="2">
        <v>3</v>
      </c>
      <c r="E43" s="10" t="str">
        <f t="shared" si="3"/>
        <v>JCR-ROS-6h-3</v>
      </c>
    </row>
    <row r="44" spans="1:5" x14ac:dyDescent="0.2">
      <c r="A44" s="9" t="s">
        <v>2</v>
      </c>
      <c r="B44" s="2" t="s">
        <v>3</v>
      </c>
      <c r="C44" s="2" t="s">
        <v>25</v>
      </c>
      <c r="D44" s="2">
        <v>8</v>
      </c>
      <c r="E44" s="10" t="str">
        <f t="shared" si="3"/>
        <v>JCR-ROS-6h-8</v>
      </c>
    </row>
    <row r="45" spans="1:5" x14ac:dyDescent="0.2">
      <c r="A45" s="9" t="s">
        <v>2</v>
      </c>
      <c r="B45" s="2" t="s">
        <v>3</v>
      </c>
      <c r="C45" s="2" t="s">
        <v>25</v>
      </c>
      <c r="D45" s="2">
        <v>12</v>
      </c>
      <c r="E45" s="10" t="str">
        <f t="shared" si="3"/>
        <v>JCR-ROS-6h-12</v>
      </c>
    </row>
    <row r="46" spans="1:5" x14ac:dyDescent="0.2">
      <c r="A46" s="11" t="s">
        <v>2</v>
      </c>
      <c r="B46" s="12" t="s">
        <v>3</v>
      </c>
      <c r="C46" s="12" t="s">
        <v>25</v>
      </c>
      <c r="D46" s="12">
        <v>15</v>
      </c>
      <c r="E46" s="13" t="str">
        <f t="shared" si="3"/>
        <v>JCR-ROS-6h-15</v>
      </c>
    </row>
    <row r="47" spans="1:5" x14ac:dyDescent="0.2">
      <c r="A47" s="6" t="s">
        <v>2</v>
      </c>
      <c r="B47" s="7" t="s">
        <v>5</v>
      </c>
      <c r="C47" s="7" t="s">
        <v>25</v>
      </c>
      <c r="D47" s="7">
        <v>1</v>
      </c>
      <c r="E47" s="8" t="str">
        <f>_xlfn.CONCAT(A47,"-",B47,"-",C47,"-",D47)</f>
        <v>JCR-SKY-6h-1</v>
      </c>
    </row>
    <row r="48" spans="1:5" x14ac:dyDescent="0.2">
      <c r="A48" s="9" t="s">
        <v>2</v>
      </c>
      <c r="B48" s="2" t="s">
        <v>5</v>
      </c>
      <c r="C48" s="2" t="s">
        <v>25</v>
      </c>
      <c r="D48" s="2">
        <v>2</v>
      </c>
      <c r="E48" s="10" t="str">
        <f t="shared" ref="E48:E52" si="4">_xlfn.CONCAT(A48,"-",B48,"-",C48,"-",D48)</f>
        <v>JCR-SKY-6h-2</v>
      </c>
    </row>
    <row r="49" spans="1:5" x14ac:dyDescent="0.2">
      <c r="A49" s="9" t="s">
        <v>2</v>
      </c>
      <c r="B49" s="2" t="s">
        <v>5</v>
      </c>
      <c r="C49" s="2" t="s">
        <v>25</v>
      </c>
      <c r="D49" s="2">
        <v>3</v>
      </c>
      <c r="E49" s="10" t="str">
        <f t="shared" si="4"/>
        <v>JCR-SKY-6h-3</v>
      </c>
    </row>
    <row r="50" spans="1:5" x14ac:dyDescent="0.2">
      <c r="A50" s="9" t="s">
        <v>2</v>
      </c>
      <c r="B50" s="2" t="s">
        <v>5</v>
      </c>
      <c r="C50" s="2" t="s">
        <v>25</v>
      </c>
      <c r="D50" s="2">
        <v>8</v>
      </c>
      <c r="E50" s="10" t="str">
        <f t="shared" si="4"/>
        <v>JCR-SKY-6h-8</v>
      </c>
    </row>
    <row r="51" spans="1:5" x14ac:dyDescent="0.2">
      <c r="A51" s="9" t="s">
        <v>2</v>
      </c>
      <c r="B51" s="2" t="s">
        <v>5</v>
      </c>
      <c r="C51" s="2" t="s">
        <v>25</v>
      </c>
      <c r="D51" s="2">
        <v>12</v>
      </c>
      <c r="E51" s="10" t="str">
        <f t="shared" si="4"/>
        <v>JCR-SKY-6h-12</v>
      </c>
    </row>
    <row r="52" spans="1:5" x14ac:dyDescent="0.2">
      <c r="A52" s="11" t="s">
        <v>2</v>
      </c>
      <c r="B52" s="12" t="s">
        <v>5</v>
      </c>
      <c r="C52" s="12" t="s">
        <v>25</v>
      </c>
      <c r="D52" s="12">
        <v>15</v>
      </c>
      <c r="E52" s="13" t="str">
        <f t="shared" si="4"/>
        <v>JCR-SKY-6h-15</v>
      </c>
    </row>
    <row r="53" spans="1:5" x14ac:dyDescent="0.2">
      <c r="A53" s="6" t="s">
        <v>2</v>
      </c>
      <c r="B53" s="7" t="s">
        <v>3</v>
      </c>
      <c r="C53" s="7" t="s">
        <v>26</v>
      </c>
      <c r="D53" s="7">
        <v>1</v>
      </c>
      <c r="E53" s="8" t="str">
        <f>_xlfn.CONCAT(A53,"-",B53,"-",C53,"-",D53)</f>
        <v>JCR-ROS-24h-1</v>
      </c>
    </row>
    <row r="54" spans="1:5" x14ac:dyDescent="0.2">
      <c r="A54" s="9" t="s">
        <v>2</v>
      </c>
      <c r="B54" s="2" t="s">
        <v>3</v>
      </c>
      <c r="C54" s="2" t="s">
        <v>26</v>
      </c>
      <c r="D54" s="2">
        <v>2</v>
      </c>
      <c r="E54" s="10" t="str">
        <f t="shared" ref="E54:E58" si="5">_xlfn.CONCAT(A54,"-",B54,"-",C54,"-",D54)</f>
        <v>JCR-ROS-24h-2</v>
      </c>
    </row>
    <row r="55" spans="1:5" x14ac:dyDescent="0.2">
      <c r="A55" s="9" t="s">
        <v>2</v>
      </c>
      <c r="B55" s="2" t="s">
        <v>3</v>
      </c>
      <c r="C55" s="2" t="s">
        <v>26</v>
      </c>
      <c r="D55" s="2">
        <v>3</v>
      </c>
      <c r="E55" s="10" t="str">
        <f t="shared" si="5"/>
        <v>JCR-ROS-24h-3</v>
      </c>
    </row>
    <row r="56" spans="1:5" x14ac:dyDescent="0.2">
      <c r="A56" s="9" t="s">
        <v>2</v>
      </c>
      <c r="B56" s="2" t="s">
        <v>3</v>
      </c>
      <c r="C56" s="2" t="s">
        <v>26</v>
      </c>
      <c r="D56" s="2">
        <v>8</v>
      </c>
      <c r="E56" s="10" t="str">
        <f t="shared" si="5"/>
        <v>JCR-ROS-24h-8</v>
      </c>
    </row>
    <row r="57" spans="1:5" x14ac:dyDescent="0.2">
      <c r="A57" s="9" t="s">
        <v>2</v>
      </c>
      <c r="B57" s="2" t="s">
        <v>3</v>
      </c>
      <c r="C57" s="2" t="s">
        <v>26</v>
      </c>
      <c r="D57" s="2">
        <v>12</v>
      </c>
      <c r="E57" s="10" t="str">
        <f t="shared" si="5"/>
        <v>JCR-ROS-24h-12</v>
      </c>
    </row>
    <row r="58" spans="1:5" x14ac:dyDescent="0.2">
      <c r="A58" s="11" t="s">
        <v>2</v>
      </c>
      <c r="B58" s="12" t="s">
        <v>3</v>
      </c>
      <c r="C58" s="12" t="s">
        <v>26</v>
      </c>
      <c r="D58" s="12">
        <v>15</v>
      </c>
      <c r="E58" s="13" t="str">
        <f t="shared" si="5"/>
        <v>JCR-ROS-24h-15</v>
      </c>
    </row>
    <row r="59" spans="1:5" x14ac:dyDescent="0.2">
      <c r="A59" s="6" t="s">
        <v>2</v>
      </c>
      <c r="B59" s="7" t="s">
        <v>5</v>
      </c>
      <c r="C59" s="7" t="s">
        <v>26</v>
      </c>
      <c r="D59" s="7">
        <v>1</v>
      </c>
      <c r="E59" s="8" t="str">
        <f>_xlfn.CONCAT(A59,"-",B59,"-",C59,"-",D59)</f>
        <v>JCR-SKY-24h-1</v>
      </c>
    </row>
    <row r="60" spans="1:5" x14ac:dyDescent="0.2">
      <c r="A60" s="9" t="s">
        <v>2</v>
      </c>
      <c r="B60" s="2" t="s">
        <v>5</v>
      </c>
      <c r="C60" s="2" t="s">
        <v>26</v>
      </c>
      <c r="D60" s="2">
        <v>2</v>
      </c>
      <c r="E60" s="10" t="str">
        <f t="shared" ref="E60:E64" si="6">_xlfn.CONCAT(A60,"-",B60,"-",C60,"-",D60)</f>
        <v>JCR-SKY-24h-2</v>
      </c>
    </row>
    <row r="61" spans="1:5" x14ac:dyDescent="0.2">
      <c r="A61" s="9" t="s">
        <v>2</v>
      </c>
      <c r="B61" s="2" t="s">
        <v>5</v>
      </c>
      <c r="C61" s="2" t="s">
        <v>26</v>
      </c>
      <c r="D61" s="2">
        <v>3</v>
      </c>
      <c r="E61" s="10" t="str">
        <f t="shared" si="6"/>
        <v>JCR-SKY-24h-3</v>
      </c>
    </row>
    <row r="62" spans="1:5" x14ac:dyDescent="0.2">
      <c r="A62" s="9" t="s">
        <v>2</v>
      </c>
      <c r="B62" s="2" t="s">
        <v>5</v>
      </c>
      <c r="C62" s="2" t="s">
        <v>26</v>
      </c>
      <c r="D62" s="2">
        <v>8</v>
      </c>
      <c r="E62" s="10" t="str">
        <f t="shared" si="6"/>
        <v>JCR-SKY-24h-8</v>
      </c>
    </row>
    <row r="63" spans="1:5" x14ac:dyDescent="0.2">
      <c r="A63" s="9" t="s">
        <v>2</v>
      </c>
      <c r="B63" s="2" t="s">
        <v>5</v>
      </c>
      <c r="C63" s="2" t="s">
        <v>26</v>
      </c>
      <c r="D63" s="2">
        <v>12</v>
      </c>
      <c r="E63" s="10" t="str">
        <f t="shared" si="6"/>
        <v>JCR-SKY-24h-12</v>
      </c>
    </row>
    <row r="64" spans="1:5" x14ac:dyDescent="0.2">
      <c r="A64" s="11" t="s">
        <v>2</v>
      </c>
      <c r="B64" s="12" t="s">
        <v>5</v>
      </c>
      <c r="C64" s="12" t="s">
        <v>26</v>
      </c>
      <c r="D64" s="12">
        <v>15</v>
      </c>
      <c r="E64" s="13" t="str">
        <f t="shared" si="6"/>
        <v>JCR-SKY-24h-15</v>
      </c>
    </row>
    <row r="65" spans="1:5" x14ac:dyDescent="0.2">
      <c r="A65" s="6" t="s">
        <v>2</v>
      </c>
      <c r="B65" s="7" t="s">
        <v>3</v>
      </c>
      <c r="C65" s="7" t="s">
        <v>27</v>
      </c>
      <c r="D65" s="7">
        <v>1</v>
      </c>
      <c r="E65" s="8" t="str">
        <f>_xlfn.CONCAT(A65,"-",B65,"-",C65,"-",D65)</f>
        <v>JCR-ROS-48h-1</v>
      </c>
    </row>
    <row r="66" spans="1:5" x14ac:dyDescent="0.2">
      <c r="A66" s="9" t="s">
        <v>2</v>
      </c>
      <c r="B66" s="2" t="s">
        <v>3</v>
      </c>
      <c r="C66" s="2" t="s">
        <v>27</v>
      </c>
      <c r="D66" s="2">
        <v>2</v>
      </c>
      <c r="E66" s="10" t="str">
        <f t="shared" ref="E66:E70" si="7">_xlfn.CONCAT(A66,"-",B66,"-",C66,"-",D66)</f>
        <v>JCR-ROS-48h-2</v>
      </c>
    </row>
    <row r="67" spans="1:5" x14ac:dyDescent="0.2">
      <c r="A67" s="9" t="s">
        <v>2</v>
      </c>
      <c r="B67" s="2" t="s">
        <v>3</v>
      </c>
      <c r="C67" s="2" t="s">
        <v>27</v>
      </c>
      <c r="D67" s="2">
        <v>3</v>
      </c>
      <c r="E67" s="10" t="str">
        <f t="shared" si="7"/>
        <v>JCR-ROS-48h-3</v>
      </c>
    </row>
    <row r="68" spans="1:5" x14ac:dyDescent="0.2">
      <c r="A68" s="9" t="s">
        <v>2</v>
      </c>
      <c r="B68" s="2" t="s">
        <v>3</v>
      </c>
      <c r="C68" s="2" t="s">
        <v>27</v>
      </c>
      <c r="D68" s="2">
        <v>8</v>
      </c>
      <c r="E68" s="10" t="str">
        <f t="shared" si="7"/>
        <v>JCR-ROS-48h-8</v>
      </c>
    </row>
    <row r="69" spans="1:5" x14ac:dyDescent="0.2">
      <c r="A69" s="9" t="s">
        <v>2</v>
      </c>
      <c r="B69" s="2" t="s">
        <v>3</v>
      </c>
      <c r="C69" s="2" t="s">
        <v>27</v>
      </c>
      <c r="D69" s="2">
        <v>12</v>
      </c>
      <c r="E69" s="10" t="str">
        <f t="shared" si="7"/>
        <v>JCR-ROS-48h-12</v>
      </c>
    </row>
    <row r="70" spans="1:5" x14ac:dyDescent="0.2">
      <c r="A70" s="11" t="s">
        <v>2</v>
      </c>
      <c r="B70" s="12" t="s">
        <v>3</v>
      </c>
      <c r="C70" s="12" t="s">
        <v>27</v>
      </c>
      <c r="D70" s="12">
        <v>15</v>
      </c>
      <c r="E70" s="13" t="str">
        <f t="shared" si="7"/>
        <v>JCR-ROS-48h-15</v>
      </c>
    </row>
    <row r="71" spans="1:5" x14ac:dyDescent="0.2">
      <c r="A71" s="6" t="s">
        <v>2</v>
      </c>
      <c r="B71" s="7" t="s">
        <v>5</v>
      </c>
      <c r="C71" s="7" t="s">
        <v>27</v>
      </c>
      <c r="D71" s="7">
        <v>1</v>
      </c>
      <c r="E71" s="8" t="str">
        <f>_xlfn.CONCAT(A71,"-",B71,"-",C71,"-",D71)</f>
        <v>JCR-SKY-48h-1</v>
      </c>
    </row>
    <row r="72" spans="1:5" x14ac:dyDescent="0.2">
      <c r="A72" s="9" t="s">
        <v>2</v>
      </c>
      <c r="B72" s="2" t="s">
        <v>5</v>
      </c>
      <c r="C72" s="2" t="s">
        <v>27</v>
      </c>
      <c r="D72" s="2">
        <v>2</v>
      </c>
      <c r="E72" s="10" t="str">
        <f t="shared" ref="E72:E80" si="8">_xlfn.CONCAT(A72,"-",B72,"-",C72,"-",D72)</f>
        <v>JCR-SKY-48h-2</v>
      </c>
    </row>
    <row r="73" spans="1:5" x14ac:dyDescent="0.2">
      <c r="A73" s="9" t="s">
        <v>2</v>
      </c>
      <c r="B73" s="2" t="s">
        <v>5</v>
      </c>
      <c r="C73" s="2" t="s">
        <v>27</v>
      </c>
      <c r="D73" s="2">
        <v>3</v>
      </c>
      <c r="E73" s="10" t="str">
        <f t="shared" si="8"/>
        <v>JCR-SKY-48h-3</v>
      </c>
    </row>
    <row r="74" spans="1:5" x14ac:dyDescent="0.2">
      <c r="A74" s="9" t="s">
        <v>2</v>
      </c>
      <c r="B74" s="2" t="s">
        <v>5</v>
      </c>
      <c r="C74" s="2" t="s">
        <v>27</v>
      </c>
      <c r="D74" s="2">
        <v>8</v>
      </c>
      <c r="E74" s="10" t="str">
        <f t="shared" si="8"/>
        <v>JCR-SKY-48h-8</v>
      </c>
    </row>
    <row r="75" spans="1:5" x14ac:dyDescent="0.2">
      <c r="A75" s="9" t="s">
        <v>2</v>
      </c>
      <c r="B75" s="2" t="s">
        <v>5</v>
      </c>
      <c r="C75" s="2" t="s">
        <v>27</v>
      </c>
      <c r="D75" s="2">
        <v>12</v>
      </c>
      <c r="E75" s="10" t="str">
        <f t="shared" si="8"/>
        <v>JCR-SKY-48h-12</v>
      </c>
    </row>
    <row r="76" spans="1:5" x14ac:dyDescent="0.2">
      <c r="A76" s="11" t="s">
        <v>2</v>
      </c>
      <c r="B76" s="12" t="s">
        <v>5</v>
      </c>
      <c r="C76" s="12" t="s">
        <v>27</v>
      </c>
      <c r="D76" s="12">
        <v>15</v>
      </c>
      <c r="E76" s="13" t="str">
        <f t="shared" si="8"/>
        <v>JCR-SKY-48h-15</v>
      </c>
    </row>
    <row r="77" spans="1:5" x14ac:dyDescent="0.2">
      <c r="A77" s="9" t="s">
        <v>2</v>
      </c>
      <c r="B77" s="2" t="s">
        <v>29</v>
      </c>
      <c r="C77" s="2"/>
      <c r="D77" s="2" t="s">
        <v>30</v>
      </c>
      <c r="E77" s="10" t="str">
        <f t="shared" si="8"/>
        <v>JCR-BLANK--A</v>
      </c>
    </row>
    <row r="78" spans="1:5" x14ac:dyDescent="0.2">
      <c r="A78" s="9" t="s">
        <v>2</v>
      </c>
      <c r="B78" s="2" t="s">
        <v>29</v>
      </c>
      <c r="C78" s="2"/>
      <c r="D78" s="2" t="s">
        <v>31</v>
      </c>
      <c r="E78" s="10" t="str">
        <f t="shared" si="8"/>
        <v>JCR-BLANK--B</v>
      </c>
    </row>
    <row r="79" spans="1:5" x14ac:dyDescent="0.2">
      <c r="A79" s="6" t="s">
        <v>2</v>
      </c>
      <c r="B79" s="7" t="s">
        <v>42</v>
      </c>
      <c r="C79" s="7"/>
      <c r="D79" s="7" t="s">
        <v>30</v>
      </c>
      <c r="E79" s="8" t="str">
        <f t="shared" si="8"/>
        <v>JCR-AMBIENT--A</v>
      </c>
    </row>
    <row r="80" spans="1:5" x14ac:dyDescent="0.2">
      <c r="A80" s="11" t="s">
        <v>2</v>
      </c>
      <c r="B80" s="12" t="s">
        <v>42</v>
      </c>
      <c r="C80" s="12"/>
      <c r="D80" s="12" t="s">
        <v>31</v>
      </c>
      <c r="E80" s="13" t="str">
        <f t="shared" si="8"/>
        <v>JCR-AMBIENT--B</v>
      </c>
    </row>
    <row r="81" spans="1:5" x14ac:dyDescent="0.2">
      <c r="A81" s="14" t="s">
        <v>7</v>
      </c>
      <c r="B81" s="15" t="s">
        <v>3</v>
      </c>
      <c r="C81" s="15" t="s">
        <v>23</v>
      </c>
      <c r="D81" s="15">
        <v>1</v>
      </c>
      <c r="E81" s="16" t="str">
        <f>_xlfn.CONCAT(A81,"-",B81,"-",C81,"-",D81)</f>
        <v>PAL-ROS-pre-1</v>
      </c>
    </row>
    <row r="82" spans="1:5" x14ac:dyDescent="0.2">
      <c r="A82" s="17" t="s">
        <v>7</v>
      </c>
      <c r="B82" s="3" t="s">
        <v>3</v>
      </c>
      <c r="C82" s="3" t="s">
        <v>23</v>
      </c>
      <c r="D82" s="3">
        <v>2</v>
      </c>
      <c r="E82" s="18" t="str">
        <f t="shared" ref="E82:E86" si="9">_xlfn.CONCAT(A82,"-",B82,"-",C82,"-",D82)</f>
        <v>PAL-ROS-pre-2</v>
      </c>
    </row>
    <row r="83" spans="1:5" x14ac:dyDescent="0.2">
      <c r="A83" s="17" t="s">
        <v>7</v>
      </c>
      <c r="B83" s="3" t="s">
        <v>3</v>
      </c>
      <c r="C83" s="3" t="s">
        <v>23</v>
      </c>
      <c r="D83" s="3">
        <v>3</v>
      </c>
      <c r="E83" s="18" t="str">
        <f t="shared" si="9"/>
        <v>PAL-ROS-pre-3</v>
      </c>
    </row>
    <row r="84" spans="1:5" x14ac:dyDescent="0.2">
      <c r="A84" s="17" t="s">
        <v>7</v>
      </c>
      <c r="B84" s="3" t="s">
        <v>3</v>
      </c>
      <c r="C84" s="3" t="s">
        <v>23</v>
      </c>
      <c r="D84" s="3">
        <v>8</v>
      </c>
      <c r="E84" s="18" t="str">
        <f t="shared" si="9"/>
        <v>PAL-ROS-pre-8</v>
      </c>
    </row>
    <row r="85" spans="1:5" x14ac:dyDescent="0.2">
      <c r="A85" s="17" t="s">
        <v>7</v>
      </c>
      <c r="B85" s="3" t="s">
        <v>3</v>
      </c>
      <c r="C85" s="3" t="s">
        <v>23</v>
      </c>
      <c r="D85" s="3">
        <v>12</v>
      </c>
      <c r="E85" s="18" t="str">
        <f t="shared" si="9"/>
        <v>PAL-ROS-pre-12</v>
      </c>
    </row>
    <row r="86" spans="1:5" x14ac:dyDescent="0.2">
      <c r="A86" s="19" t="s">
        <v>7</v>
      </c>
      <c r="B86" s="20" t="s">
        <v>3</v>
      </c>
      <c r="C86" s="20" t="s">
        <v>23</v>
      </c>
      <c r="D86" s="20">
        <v>15</v>
      </c>
      <c r="E86" s="21" t="str">
        <f t="shared" si="9"/>
        <v>PAL-ROS-pre-15</v>
      </c>
    </row>
    <row r="87" spans="1:5" x14ac:dyDescent="0.2">
      <c r="A87" s="14" t="s">
        <v>7</v>
      </c>
      <c r="B87" s="15" t="s">
        <v>5</v>
      </c>
      <c r="C87" s="15" t="s">
        <v>23</v>
      </c>
      <c r="D87" s="15">
        <v>1</v>
      </c>
      <c r="E87" s="16" t="str">
        <f>_xlfn.CONCAT(A87,"-",B87,"-",C87,"-",D87)</f>
        <v>PAL-SKY-pre-1</v>
      </c>
    </row>
    <row r="88" spans="1:5" x14ac:dyDescent="0.2">
      <c r="A88" s="17" t="s">
        <v>7</v>
      </c>
      <c r="B88" s="3" t="s">
        <v>5</v>
      </c>
      <c r="C88" s="3" t="s">
        <v>23</v>
      </c>
      <c r="D88" s="3">
        <v>2</v>
      </c>
      <c r="E88" s="18" t="str">
        <f t="shared" ref="E88:E92" si="10">_xlfn.CONCAT(A88,"-",B88,"-",C88,"-",D88)</f>
        <v>PAL-SKY-pre-2</v>
      </c>
    </row>
    <row r="89" spans="1:5" x14ac:dyDescent="0.2">
      <c r="A89" s="17" t="s">
        <v>7</v>
      </c>
      <c r="B89" s="3" t="s">
        <v>5</v>
      </c>
      <c r="C89" s="3" t="s">
        <v>23</v>
      </c>
      <c r="D89" s="3">
        <v>3</v>
      </c>
      <c r="E89" s="18" t="str">
        <f t="shared" si="10"/>
        <v>PAL-SKY-pre-3</v>
      </c>
    </row>
    <row r="90" spans="1:5" x14ac:dyDescent="0.2">
      <c r="A90" s="17" t="s">
        <v>7</v>
      </c>
      <c r="B90" s="3" t="s">
        <v>5</v>
      </c>
      <c r="C90" s="3" t="s">
        <v>23</v>
      </c>
      <c r="D90" s="3">
        <v>8</v>
      </c>
      <c r="E90" s="18" t="str">
        <f t="shared" si="10"/>
        <v>PAL-SKY-pre-8</v>
      </c>
    </row>
    <row r="91" spans="1:5" x14ac:dyDescent="0.2">
      <c r="A91" s="17" t="s">
        <v>7</v>
      </c>
      <c r="B91" s="3" t="s">
        <v>5</v>
      </c>
      <c r="C91" s="3" t="s">
        <v>23</v>
      </c>
      <c r="D91" s="3">
        <v>12</v>
      </c>
      <c r="E91" s="18" t="str">
        <f t="shared" si="10"/>
        <v>PAL-SKY-pre-12</v>
      </c>
    </row>
    <row r="92" spans="1:5" x14ac:dyDescent="0.2">
      <c r="A92" s="19" t="s">
        <v>7</v>
      </c>
      <c r="B92" s="20" t="s">
        <v>5</v>
      </c>
      <c r="C92" s="20" t="s">
        <v>23</v>
      </c>
      <c r="D92" s="20">
        <v>15</v>
      </c>
      <c r="E92" s="21" t="str">
        <f t="shared" si="10"/>
        <v>PAL-SKY-pre-15</v>
      </c>
    </row>
    <row r="93" spans="1:5" x14ac:dyDescent="0.2">
      <c r="A93" s="14" t="s">
        <v>7</v>
      </c>
      <c r="B93" s="15" t="s">
        <v>3</v>
      </c>
      <c r="C93" s="15" t="s">
        <v>24</v>
      </c>
      <c r="D93" s="15">
        <v>1</v>
      </c>
      <c r="E93" s="16" t="str">
        <f>_xlfn.CONCAT(A93,"-",B93,"-",C93,"-",D93)</f>
        <v>PAL-ROS-1h-1</v>
      </c>
    </row>
    <row r="94" spans="1:5" x14ac:dyDescent="0.2">
      <c r="A94" s="17" t="s">
        <v>7</v>
      </c>
      <c r="B94" s="3" t="s">
        <v>3</v>
      </c>
      <c r="C94" s="3" t="s">
        <v>24</v>
      </c>
      <c r="D94" s="3">
        <v>2</v>
      </c>
      <c r="E94" s="18" t="str">
        <f t="shared" ref="E94:E98" si="11">_xlfn.CONCAT(A94,"-",B94,"-",C94,"-",D94)</f>
        <v>PAL-ROS-1h-2</v>
      </c>
    </row>
    <row r="95" spans="1:5" x14ac:dyDescent="0.2">
      <c r="A95" s="17" t="s">
        <v>7</v>
      </c>
      <c r="B95" s="3" t="s">
        <v>3</v>
      </c>
      <c r="C95" s="3" t="s">
        <v>24</v>
      </c>
      <c r="D95" s="3">
        <v>3</v>
      </c>
      <c r="E95" s="18" t="str">
        <f t="shared" si="11"/>
        <v>PAL-ROS-1h-3</v>
      </c>
    </row>
    <row r="96" spans="1:5" x14ac:dyDescent="0.2">
      <c r="A96" s="17" t="s">
        <v>7</v>
      </c>
      <c r="B96" s="3" t="s">
        <v>3</v>
      </c>
      <c r="C96" s="3" t="s">
        <v>24</v>
      </c>
      <c r="D96" s="3">
        <v>8</v>
      </c>
      <c r="E96" s="18" t="str">
        <f t="shared" si="11"/>
        <v>PAL-ROS-1h-8</v>
      </c>
    </row>
    <row r="97" spans="1:5" x14ac:dyDescent="0.2">
      <c r="A97" s="17" t="s">
        <v>7</v>
      </c>
      <c r="B97" s="3" t="s">
        <v>3</v>
      </c>
      <c r="C97" s="3" t="s">
        <v>24</v>
      </c>
      <c r="D97" s="3">
        <v>12</v>
      </c>
      <c r="E97" s="18" t="str">
        <f t="shared" si="11"/>
        <v>PAL-ROS-1h-12</v>
      </c>
    </row>
    <row r="98" spans="1:5" x14ac:dyDescent="0.2">
      <c r="A98" s="19" t="s">
        <v>7</v>
      </c>
      <c r="B98" s="20" t="s">
        <v>3</v>
      </c>
      <c r="C98" s="20" t="s">
        <v>24</v>
      </c>
      <c r="D98" s="20">
        <v>15</v>
      </c>
      <c r="E98" s="21" t="str">
        <f t="shared" si="11"/>
        <v>PAL-ROS-1h-15</v>
      </c>
    </row>
    <row r="99" spans="1:5" x14ac:dyDescent="0.2">
      <c r="A99" s="14" t="s">
        <v>7</v>
      </c>
      <c r="B99" s="15" t="s">
        <v>5</v>
      </c>
      <c r="C99" s="15" t="s">
        <v>24</v>
      </c>
      <c r="D99" s="15">
        <v>1</v>
      </c>
      <c r="E99" s="16" t="str">
        <f>_xlfn.CONCAT(A99,"-",B99,"-",C99,"-",D99)</f>
        <v>PAL-SKY-1h-1</v>
      </c>
    </row>
    <row r="100" spans="1:5" x14ac:dyDescent="0.2">
      <c r="A100" s="17" t="s">
        <v>7</v>
      </c>
      <c r="B100" s="3" t="s">
        <v>5</v>
      </c>
      <c r="C100" s="3" t="s">
        <v>24</v>
      </c>
      <c r="D100" s="3">
        <v>2</v>
      </c>
      <c r="E100" s="18" t="str">
        <f t="shared" ref="E100:E104" si="12">_xlfn.CONCAT(A100,"-",B100,"-",C100,"-",D100)</f>
        <v>PAL-SKY-1h-2</v>
      </c>
    </row>
    <row r="101" spans="1:5" x14ac:dyDescent="0.2">
      <c r="A101" s="17" t="s">
        <v>7</v>
      </c>
      <c r="B101" s="3" t="s">
        <v>5</v>
      </c>
      <c r="C101" s="3" t="s">
        <v>24</v>
      </c>
      <c r="D101" s="3">
        <v>3</v>
      </c>
      <c r="E101" s="18" t="str">
        <f t="shared" si="12"/>
        <v>PAL-SKY-1h-3</v>
      </c>
    </row>
    <row r="102" spans="1:5" x14ac:dyDescent="0.2">
      <c r="A102" s="17" t="s">
        <v>7</v>
      </c>
      <c r="B102" s="3" t="s">
        <v>5</v>
      </c>
      <c r="C102" s="3" t="s">
        <v>24</v>
      </c>
      <c r="D102" s="3">
        <v>8</v>
      </c>
      <c r="E102" s="18" t="str">
        <f t="shared" si="12"/>
        <v>PAL-SKY-1h-8</v>
      </c>
    </row>
    <row r="103" spans="1:5" x14ac:dyDescent="0.2">
      <c r="A103" s="17" t="s">
        <v>7</v>
      </c>
      <c r="B103" s="3" t="s">
        <v>5</v>
      </c>
      <c r="C103" s="3" t="s">
        <v>24</v>
      </c>
      <c r="D103" s="3">
        <v>12</v>
      </c>
      <c r="E103" s="18" t="str">
        <f t="shared" si="12"/>
        <v>PAL-SKY-1h-12</v>
      </c>
    </row>
    <row r="104" spans="1:5" x14ac:dyDescent="0.2">
      <c r="A104" s="19" t="s">
        <v>7</v>
      </c>
      <c r="B104" s="20" t="s">
        <v>5</v>
      </c>
      <c r="C104" s="20" t="s">
        <v>24</v>
      </c>
      <c r="D104" s="20">
        <v>15</v>
      </c>
      <c r="E104" s="21" t="str">
        <f t="shared" si="12"/>
        <v>PAL-SKY-1h-15</v>
      </c>
    </row>
    <row r="105" spans="1:5" x14ac:dyDescent="0.2">
      <c r="A105" s="14" t="s">
        <v>7</v>
      </c>
      <c r="B105" s="15" t="s">
        <v>3</v>
      </c>
      <c r="C105" s="15" t="s">
        <v>25</v>
      </c>
      <c r="D105" s="15">
        <v>1</v>
      </c>
      <c r="E105" s="16" t="str">
        <f>_xlfn.CONCAT(A105,"-",B105,"-",C105,"-",D105)</f>
        <v>PAL-ROS-6h-1</v>
      </c>
    </row>
    <row r="106" spans="1:5" x14ac:dyDescent="0.2">
      <c r="A106" s="17" t="s">
        <v>7</v>
      </c>
      <c r="B106" s="3" t="s">
        <v>3</v>
      </c>
      <c r="C106" s="3" t="s">
        <v>25</v>
      </c>
      <c r="D106" s="3">
        <v>2</v>
      </c>
      <c r="E106" s="18" t="str">
        <f t="shared" ref="E106:E110" si="13">_xlfn.CONCAT(A106,"-",B106,"-",C106,"-",D106)</f>
        <v>PAL-ROS-6h-2</v>
      </c>
    </row>
    <row r="107" spans="1:5" x14ac:dyDescent="0.2">
      <c r="A107" s="17" t="s">
        <v>7</v>
      </c>
      <c r="B107" s="3" t="s">
        <v>3</v>
      </c>
      <c r="C107" s="3" t="s">
        <v>25</v>
      </c>
      <c r="D107" s="3">
        <v>3</v>
      </c>
      <c r="E107" s="18" t="str">
        <f t="shared" si="13"/>
        <v>PAL-ROS-6h-3</v>
      </c>
    </row>
    <row r="108" spans="1:5" x14ac:dyDescent="0.2">
      <c r="A108" s="17" t="s">
        <v>7</v>
      </c>
      <c r="B108" s="3" t="s">
        <v>3</v>
      </c>
      <c r="C108" s="3" t="s">
        <v>25</v>
      </c>
      <c r="D108" s="3">
        <v>8</v>
      </c>
      <c r="E108" s="18" t="str">
        <f t="shared" si="13"/>
        <v>PAL-ROS-6h-8</v>
      </c>
    </row>
    <row r="109" spans="1:5" x14ac:dyDescent="0.2">
      <c r="A109" s="17" t="s">
        <v>7</v>
      </c>
      <c r="B109" s="3" t="s">
        <v>3</v>
      </c>
      <c r="C109" s="3" t="s">
        <v>25</v>
      </c>
      <c r="D109" s="3">
        <v>12</v>
      </c>
      <c r="E109" s="18" t="str">
        <f t="shared" si="13"/>
        <v>PAL-ROS-6h-12</v>
      </c>
    </row>
    <row r="110" spans="1:5" x14ac:dyDescent="0.2">
      <c r="A110" s="19" t="s">
        <v>7</v>
      </c>
      <c r="B110" s="20" t="s">
        <v>3</v>
      </c>
      <c r="C110" s="20" t="s">
        <v>25</v>
      </c>
      <c r="D110" s="20">
        <v>15</v>
      </c>
      <c r="E110" s="21" t="str">
        <f t="shared" si="13"/>
        <v>PAL-ROS-6h-15</v>
      </c>
    </row>
    <row r="111" spans="1:5" x14ac:dyDescent="0.2">
      <c r="A111" s="14" t="s">
        <v>7</v>
      </c>
      <c r="B111" s="15" t="s">
        <v>5</v>
      </c>
      <c r="C111" s="15" t="s">
        <v>25</v>
      </c>
      <c r="D111" s="15">
        <v>1</v>
      </c>
      <c r="E111" s="16" t="str">
        <f>_xlfn.CONCAT(A111,"-",B111,"-",C111,"-",D111)</f>
        <v>PAL-SKY-6h-1</v>
      </c>
    </row>
    <row r="112" spans="1:5" x14ac:dyDescent="0.2">
      <c r="A112" s="17" t="s">
        <v>7</v>
      </c>
      <c r="B112" s="3" t="s">
        <v>5</v>
      </c>
      <c r="C112" s="3" t="s">
        <v>25</v>
      </c>
      <c r="D112" s="3">
        <v>2</v>
      </c>
      <c r="E112" s="18" t="str">
        <f t="shared" ref="E112:E116" si="14">_xlfn.CONCAT(A112,"-",B112,"-",C112,"-",D112)</f>
        <v>PAL-SKY-6h-2</v>
      </c>
    </row>
    <row r="113" spans="1:5" x14ac:dyDescent="0.2">
      <c r="A113" s="17" t="s">
        <v>7</v>
      </c>
      <c r="B113" s="3" t="s">
        <v>5</v>
      </c>
      <c r="C113" s="3" t="s">
        <v>25</v>
      </c>
      <c r="D113" s="3">
        <v>3</v>
      </c>
      <c r="E113" s="18" t="str">
        <f t="shared" si="14"/>
        <v>PAL-SKY-6h-3</v>
      </c>
    </row>
    <row r="114" spans="1:5" x14ac:dyDescent="0.2">
      <c r="A114" s="17" t="s">
        <v>7</v>
      </c>
      <c r="B114" s="3" t="s">
        <v>5</v>
      </c>
      <c r="C114" s="3" t="s">
        <v>25</v>
      </c>
      <c r="D114" s="3">
        <v>8</v>
      </c>
      <c r="E114" s="18" t="str">
        <f t="shared" si="14"/>
        <v>PAL-SKY-6h-8</v>
      </c>
    </row>
    <row r="115" spans="1:5" x14ac:dyDescent="0.2">
      <c r="A115" s="17" t="s">
        <v>7</v>
      </c>
      <c r="B115" s="3" t="s">
        <v>5</v>
      </c>
      <c r="C115" s="3" t="s">
        <v>25</v>
      </c>
      <c r="D115" s="3">
        <v>12</v>
      </c>
      <c r="E115" s="18" t="str">
        <f t="shared" si="14"/>
        <v>PAL-SKY-6h-12</v>
      </c>
    </row>
    <row r="116" spans="1:5" x14ac:dyDescent="0.2">
      <c r="A116" s="19" t="s">
        <v>7</v>
      </c>
      <c r="B116" s="20" t="s">
        <v>5</v>
      </c>
      <c r="C116" s="20" t="s">
        <v>25</v>
      </c>
      <c r="D116" s="20">
        <v>15</v>
      </c>
      <c r="E116" s="21" t="str">
        <f t="shared" si="14"/>
        <v>PAL-SKY-6h-15</v>
      </c>
    </row>
    <row r="117" spans="1:5" x14ac:dyDescent="0.2">
      <c r="A117" s="14" t="s">
        <v>7</v>
      </c>
      <c r="B117" s="15" t="s">
        <v>3</v>
      </c>
      <c r="C117" s="15" t="s">
        <v>26</v>
      </c>
      <c r="D117" s="15">
        <v>1</v>
      </c>
      <c r="E117" s="16" t="str">
        <f>_xlfn.CONCAT(A117,"-",B117,"-",C117,"-",D117)</f>
        <v>PAL-ROS-24h-1</v>
      </c>
    </row>
    <row r="118" spans="1:5" x14ac:dyDescent="0.2">
      <c r="A118" s="17" t="s">
        <v>7</v>
      </c>
      <c r="B118" s="3" t="s">
        <v>3</v>
      </c>
      <c r="C118" s="3" t="s">
        <v>26</v>
      </c>
      <c r="D118" s="3">
        <v>2</v>
      </c>
      <c r="E118" s="18" t="str">
        <f t="shared" ref="E118:E122" si="15">_xlfn.CONCAT(A118,"-",B118,"-",C118,"-",D118)</f>
        <v>PAL-ROS-24h-2</v>
      </c>
    </row>
    <row r="119" spans="1:5" x14ac:dyDescent="0.2">
      <c r="A119" s="17" t="s">
        <v>7</v>
      </c>
      <c r="B119" s="3" t="s">
        <v>3</v>
      </c>
      <c r="C119" s="3" t="s">
        <v>26</v>
      </c>
      <c r="D119" s="3">
        <v>3</v>
      </c>
      <c r="E119" s="18" t="str">
        <f t="shared" si="15"/>
        <v>PAL-ROS-24h-3</v>
      </c>
    </row>
    <row r="120" spans="1:5" x14ac:dyDescent="0.2">
      <c r="A120" s="17" t="s">
        <v>7</v>
      </c>
      <c r="B120" s="3" t="s">
        <v>3</v>
      </c>
      <c r="C120" s="3" t="s">
        <v>26</v>
      </c>
      <c r="D120" s="3">
        <v>8</v>
      </c>
      <c r="E120" s="18" t="str">
        <f t="shared" si="15"/>
        <v>PAL-ROS-24h-8</v>
      </c>
    </row>
    <row r="121" spans="1:5" x14ac:dyDescent="0.2">
      <c r="A121" s="17" t="s">
        <v>7</v>
      </c>
      <c r="B121" s="3" t="s">
        <v>3</v>
      </c>
      <c r="C121" s="3" t="s">
        <v>26</v>
      </c>
      <c r="D121" s="3">
        <v>12</v>
      </c>
      <c r="E121" s="18" t="str">
        <f t="shared" si="15"/>
        <v>PAL-ROS-24h-12</v>
      </c>
    </row>
    <row r="122" spans="1:5" x14ac:dyDescent="0.2">
      <c r="A122" s="19" t="s">
        <v>7</v>
      </c>
      <c r="B122" s="20" t="s">
        <v>3</v>
      </c>
      <c r="C122" s="20" t="s">
        <v>26</v>
      </c>
      <c r="D122" s="20">
        <v>15</v>
      </c>
      <c r="E122" s="21" t="str">
        <f t="shared" si="15"/>
        <v>PAL-ROS-24h-15</v>
      </c>
    </row>
    <row r="123" spans="1:5" x14ac:dyDescent="0.2">
      <c r="A123" s="14" t="s">
        <v>7</v>
      </c>
      <c r="B123" s="15" t="s">
        <v>5</v>
      </c>
      <c r="C123" s="15" t="s">
        <v>26</v>
      </c>
      <c r="D123" s="15">
        <v>1</v>
      </c>
      <c r="E123" s="16" t="str">
        <f>_xlfn.CONCAT(A123,"-",B123,"-",C123,"-",D123)</f>
        <v>PAL-SKY-24h-1</v>
      </c>
    </row>
    <row r="124" spans="1:5" x14ac:dyDescent="0.2">
      <c r="A124" s="17" t="s">
        <v>7</v>
      </c>
      <c r="B124" s="3" t="s">
        <v>5</v>
      </c>
      <c r="C124" s="3" t="s">
        <v>26</v>
      </c>
      <c r="D124" s="3">
        <v>2</v>
      </c>
      <c r="E124" s="18" t="str">
        <f t="shared" ref="E124:E128" si="16">_xlfn.CONCAT(A124,"-",B124,"-",C124,"-",D124)</f>
        <v>PAL-SKY-24h-2</v>
      </c>
    </row>
    <row r="125" spans="1:5" x14ac:dyDescent="0.2">
      <c r="A125" s="17" t="s">
        <v>7</v>
      </c>
      <c r="B125" s="3" t="s">
        <v>5</v>
      </c>
      <c r="C125" s="3" t="s">
        <v>26</v>
      </c>
      <c r="D125" s="3">
        <v>3</v>
      </c>
      <c r="E125" s="18" t="str">
        <f t="shared" si="16"/>
        <v>PAL-SKY-24h-3</v>
      </c>
    </row>
    <row r="126" spans="1:5" x14ac:dyDescent="0.2">
      <c r="A126" s="17" t="s">
        <v>7</v>
      </c>
      <c r="B126" s="3" t="s">
        <v>5</v>
      </c>
      <c r="C126" s="3" t="s">
        <v>26</v>
      </c>
      <c r="D126" s="3">
        <v>8</v>
      </c>
      <c r="E126" s="18" t="str">
        <f t="shared" si="16"/>
        <v>PAL-SKY-24h-8</v>
      </c>
    </row>
    <row r="127" spans="1:5" x14ac:dyDescent="0.2">
      <c r="A127" s="17" t="s">
        <v>7</v>
      </c>
      <c r="B127" s="3" t="s">
        <v>5</v>
      </c>
      <c r="C127" s="3" t="s">
        <v>26</v>
      </c>
      <c r="D127" s="3">
        <v>12</v>
      </c>
      <c r="E127" s="18" t="str">
        <f t="shared" si="16"/>
        <v>PAL-SKY-24h-12</v>
      </c>
    </row>
    <row r="128" spans="1:5" x14ac:dyDescent="0.2">
      <c r="A128" s="19" t="s">
        <v>7</v>
      </c>
      <c r="B128" s="20" t="s">
        <v>5</v>
      </c>
      <c r="C128" s="20" t="s">
        <v>26</v>
      </c>
      <c r="D128" s="20">
        <v>15</v>
      </c>
      <c r="E128" s="21" t="str">
        <f t="shared" si="16"/>
        <v>PAL-SKY-24h-15</v>
      </c>
    </row>
    <row r="129" spans="1:5" x14ac:dyDescent="0.2">
      <c r="A129" s="14" t="s">
        <v>7</v>
      </c>
      <c r="B129" s="15" t="s">
        <v>3</v>
      </c>
      <c r="C129" s="15" t="s">
        <v>27</v>
      </c>
      <c r="D129" s="15">
        <v>1</v>
      </c>
      <c r="E129" s="16" t="str">
        <f>_xlfn.CONCAT(A129,"-",B129,"-",C129,"-",D129)</f>
        <v>PAL-ROS-48h-1</v>
      </c>
    </row>
    <row r="130" spans="1:5" x14ac:dyDescent="0.2">
      <c r="A130" s="17" t="s">
        <v>7</v>
      </c>
      <c r="B130" s="3" t="s">
        <v>3</v>
      </c>
      <c r="C130" s="3" t="s">
        <v>27</v>
      </c>
      <c r="D130" s="3">
        <v>2</v>
      </c>
      <c r="E130" s="18" t="str">
        <f t="shared" ref="E130:E134" si="17">_xlfn.CONCAT(A130,"-",B130,"-",C130,"-",D130)</f>
        <v>PAL-ROS-48h-2</v>
      </c>
    </row>
    <row r="131" spans="1:5" x14ac:dyDescent="0.2">
      <c r="A131" s="17" t="s">
        <v>7</v>
      </c>
      <c r="B131" s="3" t="s">
        <v>3</v>
      </c>
      <c r="C131" s="3" t="s">
        <v>27</v>
      </c>
      <c r="D131" s="3">
        <v>3</v>
      </c>
      <c r="E131" s="18" t="str">
        <f t="shared" si="17"/>
        <v>PAL-ROS-48h-3</v>
      </c>
    </row>
    <row r="132" spans="1:5" x14ac:dyDescent="0.2">
      <c r="A132" s="17" t="s">
        <v>7</v>
      </c>
      <c r="B132" s="3" t="s">
        <v>3</v>
      </c>
      <c r="C132" s="3" t="s">
        <v>27</v>
      </c>
      <c r="D132" s="3">
        <v>8</v>
      </c>
      <c r="E132" s="18" t="str">
        <f t="shared" si="17"/>
        <v>PAL-ROS-48h-8</v>
      </c>
    </row>
    <row r="133" spans="1:5" x14ac:dyDescent="0.2">
      <c r="A133" s="17" t="s">
        <v>7</v>
      </c>
      <c r="B133" s="3" t="s">
        <v>3</v>
      </c>
      <c r="C133" s="3" t="s">
        <v>27</v>
      </c>
      <c r="D133" s="3">
        <v>12</v>
      </c>
      <c r="E133" s="18" t="str">
        <f t="shared" si="17"/>
        <v>PAL-ROS-48h-12</v>
      </c>
    </row>
    <row r="134" spans="1:5" x14ac:dyDescent="0.2">
      <c r="A134" s="19" t="s">
        <v>7</v>
      </c>
      <c r="B134" s="20" t="s">
        <v>3</v>
      </c>
      <c r="C134" s="20" t="s">
        <v>27</v>
      </c>
      <c r="D134" s="20">
        <v>15</v>
      </c>
      <c r="E134" s="21" t="str">
        <f t="shared" si="17"/>
        <v>PAL-ROS-48h-15</v>
      </c>
    </row>
    <row r="135" spans="1:5" x14ac:dyDescent="0.2">
      <c r="A135" s="14" t="s">
        <v>7</v>
      </c>
      <c r="B135" s="15" t="s">
        <v>5</v>
      </c>
      <c r="C135" s="15" t="s">
        <v>27</v>
      </c>
      <c r="D135" s="15">
        <v>1</v>
      </c>
      <c r="E135" s="16" t="str">
        <f>_xlfn.CONCAT(A135,"-",B135,"-",C135,"-",D135)</f>
        <v>PAL-SKY-48h-1</v>
      </c>
    </row>
    <row r="136" spans="1:5" x14ac:dyDescent="0.2">
      <c r="A136" s="17" t="s">
        <v>7</v>
      </c>
      <c r="B136" s="3" t="s">
        <v>5</v>
      </c>
      <c r="C136" s="3" t="s">
        <v>27</v>
      </c>
      <c r="D136" s="3">
        <v>2</v>
      </c>
      <c r="E136" s="18" t="str">
        <f t="shared" ref="E136:E144" si="18">_xlfn.CONCAT(A136,"-",B136,"-",C136,"-",D136)</f>
        <v>PAL-SKY-48h-2</v>
      </c>
    </row>
    <row r="137" spans="1:5" x14ac:dyDescent="0.2">
      <c r="A137" s="17" t="s">
        <v>7</v>
      </c>
      <c r="B137" s="3" t="s">
        <v>5</v>
      </c>
      <c r="C137" s="3" t="s">
        <v>27</v>
      </c>
      <c r="D137" s="3">
        <v>3</v>
      </c>
      <c r="E137" s="18" t="str">
        <f t="shared" si="18"/>
        <v>PAL-SKY-48h-3</v>
      </c>
    </row>
    <row r="138" spans="1:5" x14ac:dyDescent="0.2">
      <c r="A138" s="17" t="s">
        <v>7</v>
      </c>
      <c r="B138" s="3" t="s">
        <v>5</v>
      </c>
      <c r="C138" s="3" t="s">
        <v>27</v>
      </c>
      <c r="D138" s="3">
        <v>8</v>
      </c>
      <c r="E138" s="18" t="str">
        <f t="shared" si="18"/>
        <v>PAL-SKY-48h-8</v>
      </c>
    </row>
    <row r="139" spans="1:5" x14ac:dyDescent="0.2">
      <c r="A139" s="17" t="s">
        <v>7</v>
      </c>
      <c r="B139" s="3" t="s">
        <v>5</v>
      </c>
      <c r="C139" s="3" t="s">
        <v>27</v>
      </c>
      <c r="D139" s="3">
        <v>12</v>
      </c>
      <c r="E139" s="18" t="str">
        <f t="shared" si="18"/>
        <v>PAL-SKY-48h-12</v>
      </c>
    </row>
    <row r="140" spans="1:5" x14ac:dyDescent="0.2">
      <c r="A140" s="17" t="s">
        <v>7</v>
      </c>
      <c r="B140" s="3" t="s">
        <v>5</v>
      </c>
      <c r="C140" s="3" t="s">
        <v>27</v>
      </c>
      <c r="D140" s="3">
        <v>15</v>
      </c>
      <c r="E140" s="18" t="str">
        <f t="shared" si="18"/>
        <v>PAL-SKY-48h-15</v>
      </c>
    </row>
    <row r="141" spans="1:5" x14ac:dyDescent="0.2">
      <c r="A141" s="14" t="s">
        <v>7</v>
      </c>
      <c r="B141" s="15" t="s">
        <v>29</v>
      </c>
      <c r="C141" s="15"/>
      <c r="D141" s="15" t="s">
        <v>30</v>
      </c>
      <c r="E141" s="16" t="str">
        <f t="shared" si="18"/>
        <v>PAL-BLANK--A</v>
      </c>
    </row>
    <row r="142" spans="1:5" x14ac:dyDescent="0.2">
      <c r="A142" s="19" t="s">
        <v>7</v>
      </c>
      <c r="B142" s="20" t="s">
        <v>29</v>
      </c>
      <c r="C142" s="20"/>
      <c r="D142" s="20" t="s">
        <v>31</v>
      </c>
      <c r="E142" s="21" t="str">
        <f t="shared" si="18"/>
        <v>PAL-BLANK--B</v>
      </c>
    </row>
    <row r="143" spans="1:5" x14ac:dyDescent="0.2">
      <c r="A143" s="17" t="s">
        <v>7</v>
      </c>
      <c r="B143" s="3" t="s">
        <v>42</v>
      </c>
      <c r="C143" s="3"/>
      <c r="D143" s="3" t="s">
        <v>30</v>
      </c>
      <c r="E143" s="18" t="str">
        <f t="shared" si="18"/>
        <v>PAL-AMBIENT--A</v>
      </c>
    </row>
    <row r="144" spans="1:5" x14ac:dyDescent="0.2">
      <c r="A144" s="19" t="s">
        <v>7</v>
      </c>
      <c r="B144" s="20" t="s">
        <v>42</v>
      </c>
      <c r="C144" s="20"/>
      <c r="D144" s="20" t="s">
        <v>31</v>
      </c>
      <c r="E144" s="21" t="str">
        <f t="shared" si="18"/>
        <v>PAL-AMBIENT--B</v>
      </c>
    </row>
    <row r="145" spans="1:5" x14ac:dyDescent="0.2">
      <c r="A145" s="25" t="s">
        <v>6</v>
      </c>
      <c r="B145" s="4" t="s">
        <v>3</v>
      </c>
      <c r="C145" s="4" t="s">
        <v>23</v>
      </c>
      <c r="D145" s="4">
        <v>1</v>
      </c>
      <c r="E145" s="26" t="str">
        <f>_xlfn.CONCAT(A145,"-",B145,"-",C145,"-",D145)</f>
        <v>LOM-ROS-pre-1</v>
      </c>
    </row>
    <row r="146" spans="1:5" x14ac:dyDescent="0.2">
      <c r="A146" s="25" t="s">
        <v>6</v>
      </c>
      <c r="B146" s="4" t="s">
        <v>3</v>
      </c>
      <c r="C146" s="4" t="s">
        <v>23</v>
      </c>
      <c r="D146" s="4">
        <v>2</v>
      </c>
      <c r="E146" s="26" t="str">
        <f t="shared" ref="E146:E208" si="19">_xlfn.CONCAT(A146,"-",B146,"-",C146,"-",D146)</f>
        <v>LOM-ROS-pre-2</v>
      </c>
    </row>
    <row r="147" spans="1:5" x14ac:dyDescent="0.2">
      <c r="A147" s="25" t="s">
        <v>6</v>
      </c>
      <c r="B147" s="4" t="s">
        <v>3</v>
      </c>
      <c r="C147" s="4" t="s">
        <v>23</v>
      </c>
      <c r="D147" s="4">
        <v>3</v>
      </c>
      <c r="E147" s="26" t="str">
        <f t="shared" si="19"/>
        <v>LOM-ROS-pre-3</v>
      </c>
    </row>
    <row r="148" spans="1:5" x14ac:dyDescent="0.2">
      <c r="A148" s="25" t="s">
        <v>6</v>
      </c>
      <c r="B148" s="4" t="s">
        <v>3</v>
      </c>
      <c r="C148" s="4" t="s">
        <v>23</v>
      </c>
      <c r="D148" s="4">
        <v>8</v>
      </c>
      <c r="E148" s="26" t="str">
        <f t="shared" si="19"/>
        <v>LOM-ROS-pre-8</v>
      </c>
    </row>
    <row r="149" spans="1:5" x14ac:dyDescent="0.2">
      <c r="A149" s="25" t="s">
        <v>6</v>
      </c>
      <c r="B149" s="4" t="s">
        <v>3</v>
      </c>
      <c r="C149" s="4" t="s">
        <v>23</v>
      </c>
      <c r="D149" s="4">
        <v>12</v>
      </c>
      <c r="E149" s="26" t="str">
        <f t="shared" si="19"/>
        <v>LOM-ROS-pre-12</v>
      </c>
    </row>
    <row r="150" spans="1:5" x14ac:dyDescent="0.2">
      <c r="A150" s="27" t="s">
        <v>6</v>
      </c>
      <c r="B150" s="28" t="s">
        <v>3</v>
      </c>
      <c r="C150" s="28" t="s">
        <v>23</v>
      </c>
      <c r="D150" s="28">
        <v>15</v>
      </c>
      <c r="E150" s="29" t="str">
        <f t="shared" si="19"/>
        <v>LOM-ROS-pre-15</v>
      </c>
    </row>
    <row r="151" spans="1:5" x14ac:dyDescent="0.2">
      <c r="A151" s="22" t="s">
        <v>6</v>
      </c>
      <c r="B151" s="23" t="s">
        <v>5</v>
      </c>
      <c r="C151" s="23" t="s">
        <v>23</v>
      </c>
      <c r="D151" s="23">
        <v>1</v>
      </c>
      <c r="E151" s="24" t="str">
        <f t="shared" si="19"/>
        <v>LOM-SKY-pre-1</v>
      </c>
    </row>
    <row r="152" spans="1:5" x14ac:dyDescent="0.2">
      <c r="A152" s="25" t="s">
        <v>6</v>
      </c>
      <c r="B152" s="4" t="s">
        <v>5</v>
      </c>
      <c r="C152" s="4" t="s">
        <v>23</v>
      </c>
      <c r="D152" s="4">
        <v>2</v>
      </c>
      <c r="E152" s="26" t="str">
        <f t="shared" si="19"/>
        <v>LOM-SKY-pre-2</v>
      </c>
    </row>
    <row r="153" spans="1:5" x14ac:dyDescent="0.2">
      <c r="A153" s="25" t="s">
        <v>6</v>
      </c>
      <c r="B153" s="4" t="s">
        <v>5</v>
      </c>
      <c r="C153" s="4" t="s">
        <v>23</v>
      </c>
      <c r="D153" s="4">
        <v>3</v>
      </c>
      <c r="E153" s="26" t="str">
        <f t="shared" si="19"/>
        <v>LOM-SKY-pre-3</v>
      </c>
    </row>
    <row r="154" spans="1:5" x14ac:dyDescent="0.2">
      <c r="A154" s="25" t="s">
        <v>6</v>
      </c>
      <c r="B154" s="4" t="s">
        <v>5</v>
      </c>
      <c r="C154" s="4" t="s">
        <v>23</v>
      </c>
      <c r="D154" s="4">
        <v>8</v>
      </c>
      <c r="E154" s="26" t="str">
        <f t="shared" si="19"/>
        <v>LOM-SKY-pre-8</v>
      </c>
    </row>
    <row r="155" spans="1:5" x14ac:dyDescent="0.2">
      <c r="A155" s="25" t="s">
        <v>6</v>
      </c>
      <c r="B155" s="4" t="s">
        <v>5</v>
      </c>
      <c r="C155" s="4" t="s">
        <v>23</v>
      </c>
      <c r="D155" s="4">
        <v>12</v>
      </c>
      <c r="E155" s="26" t="str">
        <f t="shared" si="19"/>
        <v>LOM-SKY-pre-12</v>
      </c>
    </row>
    <row r="156" spans="1:5" x14ac:dyDescent="0.2">
      <c r="A156" s="27" t="s">
        <v>6</v>
      </c>
      <c r="B156" s="28" t="s">
        <v>5</v>
      </c>
      <c r="C156" s="28" t="s">
        <v>23</v>
      </c>
      <c r="D156" s="28">
        <v>15</v>
      </c>
      <c r="E156" s="29" t="str">
        <f t="shared" si="19"/>
        <v>LOM-SKY-pre-15</v>
      </c>
    </row>
    <row r="157" spans="1:5" x14ac:dyDescent="0.2">
      <c r="A157" s="22" t="s">
        <v>6</v>
      </c>
      <c r="B157" s="23" t="s">
        <v>3</v>
      </c>
      <c r="C157" s="23" t="s">
        <v>24</v>
      </c>
      <c r="D157" s="23">
        <v>1</v>
      </c>
      <c r="E157" s="24" t="str">
        <f t="shared" si="19"/>
        <v>LOM-ROS-1h-1</v>
      </c>
    </row>
    <row r="158" spans="1:5" x14ac:dyDescent="0.2">
      <c r="A158" s="25" t="s">
        <v>6</v>
      </c>
      <c r="B158" s="4" t="s">
        <v>3</v>
      </c>
      <c r="C158" s="4" t="s">
        <v>24</v>
      </c>
      <c r="D158" s="4">
        <v>2</v>
      </c>
      <c r="E158" s="26" t="str">
        <f t="shared" si="19"/>
        <v>LOM-ROS-1h-2</v>
      </c>
    </row>
    <row r="159" spans="1:5" x14ac:dyDescent="0.2">
      <c r="A159" s="25" t="s">
        <v>6</v>
      </c>
      <c r="B159" s="4" t="s">
        <v>3</v>
      </c>
      <c r="C159" s="4" t="s">
        <v>24</v>
      </c>
      <c r="D159" s="4">
        <v>3</v>
      </c>
      <c r="E159" s="26" t="str">
        <f t="shared" si="19"/>
        <v>LOM-ROS-1h-3</v>
      </c>
    </row>
    <row r="160" spans="1:5" x14ac:dyDescent="0.2">
      <c r="A160" s="25" t="s">
        <v>6</v>
      </c>
      <c r="B160" s="4" t="s">
        <v>3</v>
      </c>
      <c r="C160" s="4" t="s">
        <v>24</v>
      </c>
      <c r="D160" s="4">
        <v>8</v>
      </c>
      <c r="E160" s="26" t="str">
        <f t="shared" si="19"/>
        <v>LOM-ROS-1h-8</v>
      </c>
    </row>
    <row r="161" spans="1:5" x14ac:dyDescent="0.2">
      <c r="A161" s="25" t="s">
        <v>6</v>
      </c>
      <c r="B161" s="4" t="s">
        <v>3</v>
      </c>
      <c r="C161" s="4" t="s">
        <v>24</v>
      </c>
      <c r="D161" s="4">
        <v>12</v>
      </c>
      <c r="E161" s="26" t="str">
        <f t="shared" si="19"/>
        <v>LOM-ROS-1h-12</v>
      </c>
    </row>
    <row r="162" spans="1:5" x14ac:dyDescent="0.2">
      <c r="A162" s="27" t="s">
        <v>6</v>
      </c>
      <c r="B162" s="28" t="s">
        <v>3</v>
      </c>
      <c r="C162" s="28" t="s">
        <v>24</v>
      </c>
      <c r="D162" s="28">
        <v>15</v>
      </c>
      <c r="E162" s="29" t="str">
        <f t="shared" si="19"/>
        <v>LOM-ROS-1h-15</v>
      </c>
    </row>
    <row r="163" spans="1:5" x14ac:dyDescent="0.2">
      <c r="A163" s="22" t="s">
        <v>6</v>
      </c>
      <c r="B163" s="23" t="s">
        <v>5</v>
      </c>
      <c r="C163" s="23" t="s">
        <v>24</v>
      </c>
      <c r="D163" s="23">
        <v>1</v>
      </c>
      <c r="E163" s="24" t="str">
        <f t="shared" si="19"/>
        <v>LOM-SKY-1h-1</v>
      </c>
    </row>
    <row r="164" spans="1:5" x14ac:dyDescent="0.2">
      <c r="A164" s="25" t="s">
        <v>6</v>
      </c>
      <c r="B164" s="4" t="s">
        <v>5</v>
      </c>
      <c r="C164" s="4" t="s">
        <v>24</v>
      </c>
      <c r="D164" s="4">
        <v>2</v>
      </c>
      <c r="E164" s="26" t="str">
        <f t="shared" si="19"/>
        <v>LOM-SKY-1h-2</v>
      </c>
    </row>
    <row r="165" spans="1:5" x14ac:dyDescent="0.2">
      <c r="A165" s="25" t="s">
        <v>6</v>
      </c>
      <c r="B165" s="4" t="s">
        <v>5</v>
      </c>
      <c r="C165" s="4" t="s">
        <v>24</v>
      </c>
      <c r="D165" s="4">
        <v>3</v>
      </c>
      <c r="E165" s="26" t="str">
        <f t="shared" si="19"/>
        <v>LOM-SKY-1h-3</v>
      </c>
    </row>
    <row r="166" spans="1:5" x14ac:dyDescent="0.2">
      <c r="A166" s="25" t="s">
        <v>6</v>
      </c>
      <c r="B166" s="4" t="s">
        <v>5</v>
      </c>
      <c r="C166" s="4" t="s">
        <v>24</v>
      </c>
      <c r="D166" s="4">
        <v>8</v>
      </c>
      <c r="E166" s="26" t="str">
        <f t="shared" si="19"/>
        <v>LOM-SKY-1h-8</v>
      </c>
    </row>
    <row r="167" spans="1:5" x14ac:dyDescent="0.2">
      <c r="A167" s="25" t="s">
        <v>6</v>
      </c>
      <c r="B167" s="4" t="s">
        <v>5</v>
      </c>
      <c r="C167" s="4" t="s">
        <v>24</v>
      </c>
      <c r="D167" s="4">
        <v>12</v>
      </c>
      <c r="E167" s="26" t="str">
        <f t="shared" si="19"/>
        <v>LOM-SKY-1h-12</v>
      </c>
    </row>
    <row r="168" spans="1:5" x14ac:dyDescent="0.2">
      <c r="A168" s="27" t="s">
        <v>6</v>
      </c>
      <c r="B168" s="28" t="s">
        <v>5</v>
      </c>
      <c r="C168" s="28" t="s">
        <v>24</v>
      </c>
      <c r="D168" s="28">
        <v>15</v>
      </c>
      <c r="E168" s="29" t="str">
        <f t="shared" si="19"/>
        <v>LOM-SKY-1h-15</v>
      </c>
    </row>
    <row r="169" spans="1:5" x14ac:dyDescent="0.2">
      <c r="A169" s="22" t="s">
        <v>6</v>
      </c>
      <c r="B169" s="23" t="s">
        <v>3</v>
      </c>
      <c r="C169" s="23" t="s">
        <v>25</v>
      </c>
      <c r="D169" s="23">
        <v>1</v>
      </c>
      <c r="E169" s="24" t="str">
        <f t="shared" si="19"/>
        <v>LOM-ROS-6h-1</v>
      </c>
    </row>
    <row r="170" spans="1:5" x14ac:dyDescent="0.2">
      <c r="A170" s="25" t="s">
        <v>6</v>
      </c>
      <c r="B170" s="4" t="s">
        <v>3</v>
      </c>
      <c r="C170" s="4" t="s">
        <v>25</v>
      </c>
      <c r="D170" s="4">
        <v>2</v>
      </c>
      <c r="E170" s="26" t="str">
        <f t="shared" si="19"/>
        <v>LOM-ROS-6h-2</v>
      </c>
    </row>
    <row r="171" spans="1:5" x14ac:dyDescent="0.2">
      <c r="A171" s="25" t="s">
        <v>6</v>
      </c>
      <c r="B171" s="4" t="s">
        <v>3</v>
      </c>
      <c r="C171" s="4" t="s">
        <v>25</v>
      </c>
      <c r="D171" s="4">
        <v>3</v>
      </c>
      <c r="E171" s="26" t="str">
        <f t="shared" si="19"/>
        <v>LOM-ROS-6h-3</v>
      </c>
    </row>
    <row r="172" spans="1:5" x14ac:dyDescent="0.2">
      <c r="A172" s="25" t="s">
        <v>6</v>
      </c>
      <c r="B172" s="4" t="s">
        <v>3</v>
      </c>
      <c r="C172" s="4" t="s">
        <v>25</v>
      </c>
      <c r="D172" s="4">
        <v>8</v>
      </c>
      <c r="E172" s="26" t="str">
        <f t="shared" si="19"/>
        <v>LOM-ROS-6h-8</v>
      </c>
    </row>
    <row r="173" spans="1:5" x14ac:dyDescent="0.2">
      <c r="A173" s="25" t="s">
        <v>6</v>
      </c>
      <c r="B173" s="4" t="s">
        <v>3</v>
      </c>
      <c r="C173" s="4" t="s">
        <v>25</v>
      </c>
      <c r="D173" s="4">
        <v>12</v>
      </c>
      <c r="E173" s="26" t="str">
        <f t="shared" si="19"/>
        <v>LOM-ROS-6h-12</v>
      </c>
    </row>
    <row r="174" spans="1:5" x14ac:dyDescent="0.2">
      <c r="A174" s="27" t="s">
        <v>6</v>
      </c>
      <c r="B174" s="28" t="s">
        <v>3</v>
      </c>
      <c r="C174" s="28" t="s">
        <v>25</v>
      </c>
      <c r="D174" s="28">
        <v>15</v>
      </c>
      <c r="E174" s="29" t="str">
        <f t="shared" si="19"/>
        <v>LOM-ROS-6h-15</v>
      </c>
    </row>
    <row r="175" spans="1:5" x14ac:dyDescent="0.2">
      <c r="A175" s="22" t="s">
        <v>6</v>
      </c>
      <c r="B175" s="23" t="s">
        <v>5</v>
      </c>
      <c r="C175" s="23" t="s">
        <v>25</v>
      </c>
      <c r="D175" s="23">
        <v>1</v>
      </c>
      <c r="E175" s="24" t="str">
        <f t="shared" si="19"/>
        <v>LOM-SKY-6h-1</v>
      </c>
    </row>
    <row r="176" spans="1:5" x14ac:dyDescent="0.2">
      <c r="A176" s="25" t="s">
        <v>6</v>
      </c>
      <c r="B176" s="4" t="s">
        <v>5</v>
      </c>
      <c r="C176" s="4" t="s">
        <v>25</v>
      </c>
      <c r="D176" s="4">
        <v>2</v>
      </c>
      <c r="E176" s="26" t="str">
        <f t="shared" si="19"/>
        <v>LOM-SKY-6h-2</v>
      </c>
    </row>
    <row r="177" spans="1:5" x14ac:dyDescent="0.2">
      <c r="A177" s="25" t="s">
        <v>6</v>
      </c>
      <c r="B177" s="4" t="s">
        <v>5</v>
      </c>
      <c r="C177" s="4" t="s">
        <v>25</v>
      </c>
      <c r="D177" s="4">
        <v>3</v>
      </c>
      <c r="E177" s="26" t="str">
        <f t="shared" si="19"/>
        <v>LOM-SKY-6h-3</v>
      </c>
    </row>
    <row r="178" spans="1:5" x14ac:dyDescent="0.2">
      <c r="A178" s="25" t="s">
        <v>6</v>
      </c>
      <c r="B178" s="4" t="s">
        <v>5</v>
      </c>
      <c r="C178" s="4" t="s">
        <v>25</v>
      </c>
      <c r="D178" s="4">
        <v>8</v>
      </c>
      <c r="E178" s="26" t="str">
        <f t="shared" si="19"/>
        <v>LOM-SKY-6h-8</v>
      </c>
    </row>
    <row r="179" spans="1:5" x14ac:dyDescent="0.2">
      <c r="A179" s="25" t="s">
        <v>6</v>
      </c>
      <c r="B179" s="4" t="s">
        <v>5</v>
      </c>
      <c r="C179" s="4" t="s">
        <v>25</v>
      </c>
      <c r="D179" s="4">
        <v>12</v>
      </c>
      <c r="E179" s="26" t="str">
        <f t="shared" si="19"/>
        <v>LOM-SKY-6h-12</v>
      </c>
    </row>
    <row r="180" spans="1:5" x14ac:dyDescent="0.2">
      <c r="A180" s="27" t="s">
        <v>6</v>
      </c>
      <c r="B180" s="28" t="s">
        <v>5</v>
      </c>
      <c r="C180" s="28" t="s">
        <v>25</v>
      </c>
      <c r="D180" s="28">
        <v>15</v>
      </c>
      <c r="E180" s="29" t="str">
        <f t="shared" si="19"/>
        <v>LOM-SKY-6h-15</v>
      </c>
    </row>
    <row r="181" spans="1:5" x14ac:dyDescent="0.2">
      <c r="A181" s="22" t="s">
        <v>6</v>
      </c>
      <c r="B181" s="23" t="s">
        <v>3</v>
      </c>
      <c r="C181" s="23" t="s">
        <v>26</v>
      </c>
      <c r="D181" s="23">
        <v>1</v>
      </c>
      <c r="E181" s="24" t="str">
        <f t="shared" si="19"/>
        <v>LOM-ROS-24h-1</v>
      </c>
    </row>
    <row r="182" spans="1:5" x14ac:dyDescent="0.2">
      <c r="A182" s="25" t="s">
        <v>6</v>
      </c>
      <c r="B182" s="4" t="s">
        <v>3</v>
      </c>
      <c r="C182" s="4" t="s">
        <v>26</v>
      </c>
      <c r="D182" s="4">
        <v>2</v>
      </c>
      <c r="E182" s="26" t="str">
        <f t="shared" si="19"/>
        <v>LOM-ROS-24h-2</v>
      </c>
    </row>
    <row r="183" spans="1:5" x14ac:dyDescent="0.2">
      <c r="A183" s="25" t="s">
        <v>6</v>
      </c>
      <c r="B183" s="4" t="s">
        <v>3</v>
      </c>
      <c r="C183" s="4" t="s">
        <v>26</v>
      </c>
      <c r="D183" s="4">
        <v>3</v>
      </c>
      <c r="E183" s="26" t="str">
        <f t="shared" si="19"/>
        <v>LOM-ROS-24h-3</v>
      </c>
    </row>
    <row r="184" spans="1:5" x14ac:dyDescent="0.2">
      <c r="A184" s="25" t="s">
        <v>6</v>
      </c>
      <c r="B184" s="4" t="s">
        <v>3</v>
      </c>
      <c r="C184" s="4" t="s">
        <v>26</v>
      </c>
      <c r="D184" s="4">
        <v>8</v>
      </c>
      <c r="E184" s="26" t="str">
        <f t="shared" si="19"/>
        <v>LOM-ROS-24h-8</v>
      </c>
    </row>
    <row r="185" spans="1:5" x14ac:dyDescent="0.2">
      <c r="A185" s="25" t="s">
        <v>6</v>
      </c>
      <c r="B185" s="4" t="s">
        <v>3</v>
      </c>
      <c r="C185" s="4" t="s">
        <v>26</v>
      </c>
      <c r="D185" s="4">
        <v>12</v>
      </c>
      <c r="E185" s="26" t="str">
        <f t="shared" si="19"/>
        <v>LOM-ROS-24h-12</v>
      </c>
    </row>
    <row r="186" spans="1:5" x14ac:dyDescent="0.2">
      <c r="A186" s="27" t="s">
        <v>6</v>
      </c>
      <c r="B186" s="28" t="s">
        <v>3</v>
      </c>
      <c r="C186" s="28" t="s">
        <v>26</v>
      </c>
      <c r="D186" s="28">
        <v>15</v>
      </c>
      <c r="E186" s="29" t="str">
        <f t="shared" si="19"/>
        <v>LOM-ROS-24h-15</v>
      </c>
    </row>
    <row r="187" spans="1:5" x14ac:dyDescent="0.2">
      <c r="A187" s="22" t="s">
        <v>6</v>
      </c>
      <c r="B187" s="23" t="s">
        <v>5</v>
      </c>
      <c r="C187" s="23" t="s">
        <v>26</v>
      </c>
      <c r="D187" s="23">
        <v>1</v>
      </c>
      <c r="E187" s="24" t="str">
        <f t="shared" si="19"/>
        <v>LOM-SKY-24h-1</v>
      </c>
    </row>
    <row r="188" spans="1:5" x14ac:dyDescent="0.2">
      <c r="A188" s="25" t="s">
        <v>6</v>
      </c>
      <c r="B188" s="4" t="s">
        <v>5</v>
      </c>
      <c r="C188" s="4" t="s">
        <v>26</v>
      </c>
      <c r="D188" s="4">
        <v>2</v>
      </c>
      <c r="E188" s="26" t="str">
        <f t="shared" si="19"/>
        <v>LOM-SKY-24h-2</v>
      </c>
    </row>
    <row r="189" spans="1:5" x14ac:dyDescent="0.2">
      <c r="A189" s="25" t="s">
        <v>6</v>
      </c>
      <c r="B189" s="4" t="s">
        <v>5</v>
      </c>
      <c r="C189" s="4" t="s">
        <v>26</v>
      </c>
      <c r="D189" s="4">
        <v>3</v>
      </c>
      <c r="E189" s="26" t="str">
        <f t="shared" si="19"/>
        <v>LOM-SKY-24h-3</v>
      </c>
    </row>
    <row r="190" spans="1:5" x14ac:dyDescent="0.2">
      <c r="A190" s="25" t="s">
        <v>6</v>
      </c>
      <c r="B190" s="4" t="s">
        <v>5</v>
      </c>
      <c r="C190" s="4" t="s">
        <v>26</v>
      </c>
      <c r="D190" s="4">
        <v>8</v>
      </c>
      <c r="E190" s="26" t="str">
        <f t="shared" si="19"/>
        <v>LOM-SKY-24h-8</v>
      </c>
    </row>
    <row r="191" spans="1:5" x14ac:dyDescent="0.2">
      <c r="A191" s="25" t="s">
        <v>6</v>
      </c>
      <c r="B191" s="4" t="s">
        <v>5</v>
      </c>
      <c r="C191" s="4" t="s">
        <v>26</v>
      </c>
      <c r="D191" s="4">
        <v>12</v>
      </c>
      <c r="E191" s="26" t="str">
        <f t="shared" si="19"/>
        <v>LOM-SKY-24h-12</v>
      </c>
    </row>
    <row r="192" spans="1:5" x14ac:dyDescent="0.2">
      <c r="A192" s="27" t="s">
        <v>6</v>
      </c>
      <c r="B192" s="28" t="s">
        <v>5</v>
      </c>
      <c r="C192" s="28" t="s">
        <v>26</v>
      </c>
      <c r="D192" s="28">
        <v>15</v>
      </c>
      <c r="E192" s="29" t="str">
        <f t="shared" si="19"/>
        <v>LOM-SKY-24h-15</v>
      </c>
    </row>
    <row r="193" spans="1:5" x14ac:dyDescent="0.2">
      <c r="A193" s="22" t="s">
        <v>6</v>
      </c>
      <c r="B193" s="23" t="s">
        <v>3</v>
      </c>
      <c r="C193" s="23" t="s">
        <v>27</v>
      </c>
      <c r="D193" s="23">
        <v>1</v>
      </c>
      <c r="E193" s="24" t="str">
        <f t="shared" si="19"/>
        <v>LOM-ROS-48h-1</v>
      </c>
    </row>
    <row r="194" spans="1:5" x14ac:dyDescent="0.2">
      <c r="A194" s="25" t="s">
        <v>6</v>
      </c>
      <c r="B194" s="4" t="s">
        <v>3</v>
      </c>
      <c r="C194" s="4" t="s">
        <v>27</v>
      </c>
      <c r="D194" s="4">
        <v>2</v>
      </c>
      <c r="E194" s="26" t="str">
        <f t="shared" si="19"/>
        <v>LOM-ROS-48h-2</v>
      </c>
    </row>
    <row r="195" spans="1:5" x14ac:dyDescent="0.2">
      <c r="A195" s="25" t="s">
        <v>6</v>
      </c>
      <c r="B195" s="4" t="s">
        <v>3</v>
      </c>
      <c r="C195" s="4" t="s">
        <v>27</v>
      </c>
      <c r="D195" s="4">
        <v>3</v>
      </c>
      <c r="E195" s="26" t="str">
        <f t="shared" si="19"/>
        <v>LOM-ROS-48h-3</v>
      </c>
    </row>
    <row r="196" spans="1:5" x14ac:dyDescent="0.2">
      <c r="A196" s="25" t="s">
        <v>6</v>
      </c>
      <c r="B196" s="4" t="s">
        <v>3</v>
      </c>
      <c r="C196" s="4" t="s">
        <v>27</v>
      </c>
      <c r="D196" s="4">
        <v>8</v>
      </c>
      <c r="E196" s="26" t="str">
        <f t="shared" si="19"/>
        <v>LOM-ROS-48h-8</v>
      </c>
    </row>
    <row r="197" spans="1:5" x14ac:dyDescent="0.2">
      <c r="A197" s="25" t="s">
        <v>6</v>
      </c>
      <c r="B197" s="4" t="s">
        <v>3</v>
      </c>
      <c r="C197" s="4" t="s">
        <v>27</v>
      </c>
      <c r="D197" s="4">
        <v>12</v>
      </c>
      <c r="E197" s="26" t="str">
        <f t="shared" si="19"/>
        <v>LOM-ROS-48h-12</v>
      </c>
    </row>
    <row r="198" spans="1:5" x14ac:dyDescent="0.2">
      <c r="A198" s="27" t="s">
        <v>6</v>
      </c>
      <c r="B198" s="28" t="s">
        <v>3</v>
      </c>
      <c r="C198" s="28" t="s">
        <v>27</v>
      </c>
      <c r="D198" s="28">
        <v>15</v>
      </c>
      <c r="E198" s="29" t="str">
        <f t="shared" si="19"/>
        <v>LOM-ROS-48h-15</v>
      </c>
    </row>
    <row r="199" spans="1:5" x14ac:dyDescent="0.2">
      <c r="A199" s="22" t="s">
        <v>6</v>
      </c>
      <c r="B199" s="23" t="s">
        <v>5</v>
      </c>
      <c r="C199" s="23" t="s">
        <v>27</v>
      </c>
      <c r="D199" s="23">
        <v>1</v>
      </c>
      <c r="E199" s="24" t="str">
        <f t="shared" si="19"/>
        <v>LOM-SKY-48h-1</v>
      </c>
    </row>
    <row r="200" spans="1:5" x14ac:dyDescent="0.2">
      <c r="A200" s="25" t="s">
        <v>6</v>
      </c>
      <c r="B200" s="4" t="s">
        <v>5</v>
      </c>
      <c r="C200" s="4" t="s">
        <v>27</v>
      </c>
      <c r="D200" s="4">
        <v>2</v>
      </c>
      <c r="E200" s="26" t="str">
        <f t="shared" si="19"/>
        <v>LOM-SKY-48h-2</v>
      </c>
    </row>
    <row r="201" spans="1:5" x14ac:dyDescent="0.2">
      <c r="A201" s="25" t="s">
        <v>6</v>
      </c>
      <c r="B201" s="4" t="s">
        <v>5</v>
      </c>
      <c r="C201" s="4" t="s">
        <v>27</v>
      </c>
      <c r="D201" s="4">
        <v>3</v>
      </c>
      <c r="E201" s="26" t="str">
        <f t="shared" si="19"/>
        <v>LOM-SKY-48h-3</v>
      </c>
    </row>
    <row r="202" spans="1:5" x14ac:dyDescent="0.2">
      <c r="A202" s="25" t="s">
        <v>6</v>
      </c>
      <c r="B202" s="4" t="s">
        <v>5</v>
      </c>
      <c r="C202" s="4" t="s">
        <v>27</v>
      </c>
      <c r="D202" s="4">
        <v>8</v>
      </c>
      <c r="E202" s="26" t="str">
        <f t="shared" si="19"/>
        <v>LOM-SKY-48h-8</v>
      </c>
    </row>
    <row r="203" spans="1:5" x14ac:dyDescent="0.2">
      <c r="A203" s="25" t="s">
        <v>6</v>
      </c>
      <c r="B203" s="4" t="s">
        <v>5</v>
      </c>
      <c r="C203" s="4" t="s">
        <v>27</v>
      </c>
      <c r="D203" s="4">
        <v>12</v>
      </c>
      <c r="E203" s="26" t="str">
        <f t="shared" si="19"/>
        <v>LOM-SKY-48h-12</v>
      </c>
    </row>
    <row r="204" spans="1:5" x14ac:dyDescent="0.2">
      <c r="A204" s="25" t="s">
        <v>6</v>
      </c>
      <c r="B204" s="4" t="s">
        <v>5</v>
      </c>
      <c r="C204" s="4" t="s">
        <v>27</v>
      </c>
      <c r="D204" s="4">
        <v>15</v>
      </c>
      <c r="E204" s="26" t="str">
        <f t="shared" si="19"/>
        <v>LOM-SKY-48h-15</v>
      </c>
    </row>
    <row r="205" spans="1:5" x14ac:dyDescent="0.2">
      <c r="A205" s="22" t="s">
        <v>6</v>
      </c>
      <c r="B205" s="23" t="s">
        <v>29</v>
      </c>
      <c r="C205" s="23"/>
      <c r="D205" s="23" t="s">
        <v>30</v>
      </c>
      <c r="E205" s="24" t="str">
        <f t="shared" si="19"/>
        <v>LOM-BLANK--A</v>
      </c>
    </row>
    <row r="206" spans="1:5" x14ac:dyDescent="0.2">
      <c r="A206" s="27" t="s">
        <v>6</v>
      </c>
      <c r="B206" s="28" t="s">
        <v>29</v>
      </c>
      <c r="C206" s="28"/>
      <c r="D206" s="28" t="s">
        <v>31</v>
      </c>
      <c r="E206" s="29" t="str">
        <f t="shared" si="19"/>
        <v>LOM-BLANK--B</v>
      </c>
    </row>
    <row r="207" spans="1:5" x14ac:dyDescent="0.2">
      <c r="A207" s="25" t="s">
        <v>6</v>
      </c>
      <c r="B207" s="4" t="s">
        <v>42</v>
      </c>
      <c r="C207" s="4"/>
      <c r="D207" s="4" t="s">
        <v>30</v>
      </c>
      <c r="E207" s="26" t="str">
        <f t="shared" si="19"/>
        <v>LOM-AMBIENT--A</v>
      </c>
    </row>
    <row r="208" spans="1:5" x14ac:dyDescent="0.2">
      <c r="A208" s="27" t="s">
        <v>6</v>
      </c>
      <c r="B208" s="28" t="s">
        <v>42</v>
      </c>
      <c r="C208" s="28"/>
      <c r="D208" s="28" t="s">
        <v>31</v>
      </c>
      <c r="E208" s="29" t="str">
        <f t="shared" si="19"/>
        <v>LOM-AMBIENT--B</v>
      </c>
    </row>
  </sheetData>
  <mergeCells count="3">
    <mergeCell ref="A1:E1"/>
    <mergeCell ref="A2:E2"/>
    <mergeCell ref="A3:E3"/>
  </mergeCells>
  <conditionalFormatting sqref="A1:A208 A213:A1048576">
    <cfRule type="containsText" dxfId="4" priority="1" operator="containsText" text="LOM">
      <formula>NOT(ISERROR(SEARCH("LOM",A1)))</formula>
    </cfRule>
    <cfRule type="containsText" dxfId="3" priority="2" operator="containsText" text="PAL">
      <formula>NOT(ISERROR(SEARCH("PAL",A1)))</formula>
    </cfRule>
    <cfRule type="containsText" dxfId="2" priority="3" operator="containsText" text="JCR">
      <formula>NOT(ISERROR(SEARCH("JCR",A1)))</formula>
    </cfRule>
  </conditionalFormatting>
  <conditionalFormatting sqref="B1:B2 B4:B208 B213:B1048576">
    <cfRule type="containsText" dxfId="1" priority="4" operator="containsText" text="SKY">
      <formula>NOT(ISERROR(SEARCH("SKY",B1)))</formula>
    </cfRule>
    <cfRule type="containsText" dxfId="0" priority="5" operator="containsText" text="ROS">
      <formula>NOT(ISERROR(SEARCH("ROS",B1)))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6A4A-282D-CA4B-B0D5-A07157DA9037}">
  <dimension ref="A1:M10"/>
  <sheetViews>
    <sheetView tabSelected="1" zoomScale="160" zoomScaleNormal="16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:B10"/>
    </sheetView>
  </sheetViews>
  <sheetFormatPr baseColWidth="10" defaultRowHeight="15" x14ac:dyDescent="0.2"/>
  <cols>
    <col min="1" max="1" width="12.83203125" bestFit="1" customWidth="1"/>
    <col min="4" max="4" width="18.6640625" bestFit="1" customWidth="1"/>
    <col min="6" max="6" width="15.5" bestFit="1" customWidth="1"/>
    <col min="7" max="7" width="15.5" customWidth="1"/>
    <col min="8" max="8" width="14" bestFit="1" customWidth="1"/>
    <col min="9" max="9" width="12" bestFit="1" customWidth="1"/>
    <col min="12" max="12" width="15.5" customWidth="1"/>
    <col min="13" max="13" width="15.83203125" customWidth="1"/>
  </cols>
  <sheetData>
    <row r="1" spans="1:13" x14ac:dyDescent="0.2">
      <c r="A1" t="s">
        <v>19</v>
      </c>
      <c r="B1" t="s">
        <v>0</v>
      </c>
      <c r="C1" t="s">
        <v>162</v>
      </c>
      <c r="D1" t="s">
        <v>160</v>
      </c>
      <c r="E1" t="s">
        <v>171</v>
      </c>
      <c r="F1" t="s">
        <v>164</v>
      </c>
      <c r="G1" t="s">
        <v>172</v>
      </c>
      <c r="H1" t="s">
        <v>163</v>
      </c>
      <c r="I1" t="s">
        <v>165</v>
      </c>
      <c r="J1" t="s">
        <v>167</v>
      </c>
      <c r="K1" t="s">
        <v>168</v>
      </c>
      <c r="L1" t="s">
        <v>175</v>
      </c>
      <c r="M1" t="s">
        <v>265</v>
      </c>
    </row>
    <row r="2" spans="1:13" x14ac:dyDescent="0.2">
      <c r="A2" t="s">
        <v>166</v>
      </c>
      <c r="B2" t="s">
        <v>166</v>
      </c>
      <c r="C2" t="s">
        <v>166</v>
      </c>
      <c r="D2" t="s">
        <v>166</v>
      </c>
      <c r="E2" s="74">
        <v>2.31</v>
      </c>
      <c r="F2" s="74">
        <v>5.0199999999999996</v>
      </c>
      <c r="G2" s="74">
        <f>F2+E2</f>
        <v>7.33</v>
      </c>
      <c r="H2" s="74">
        <v>6.53</v>
      </c>
      <c r="I2" s="74">
        <f>H2-E2</f>
        <v>4.2200000000000006</v>
      </c>
      <c r="J2" s="74">
        <f>F2-I2</f>
        <v>0.79999999999999893</v>
      </c>
      <c r="K2" s="74">
        <f>((F2-I2)/I2)*100</f>
        <v>18.957345971563953</v>
      </c>
      <c r="L2" s="74">
        <f>J2*6</f>
        <v>4.7999999999999936</v>
      </c>
    </row>
    <row r="3" spans="1:13" x14ac:dyDescent="0.2">
      <c r="A3" t="s">
        <v>152</v>
      </c>
      <c r="B3" t="s">
        <v>2</v>
      </c>
      <c r="C3" t="s">
        <v>3</v>
      </c>
      <c r="D3" t="s">
        <v>17</v>
      </c>
      <c r="E3">
        <v>13.186999999999999</v>
      </c>
      <c r="F3">
        <v>5.04</v>
      </c>
      <c r="G3">
        <f t="shared" ref="G3:G10" si="0">F3+E3</f>
        <v>18.227</v>
      </c>
      <c r="H3">
        <v>18.100000000000001</v>
      </c>
      <c r="I3">
        <f t="shared" ref="I3:I10" si="1">H3-E3</f>
        <v>4.913000000000002</v>
      </c>
      <c r="J3">
        <f t="shared" ref="J3:J10" si="2">F3-I3</f>
        <v>0.126999999999998</v>
      </c>
      <c r="K3">
        <f t="shared" ref="K3:K10" si="3">((F3-I3)/I3)*100</f>
        <v>2.5849786281294107</v>
      </c>
      <c r="L3">
        <f t="shared" ref="L3:L10" si="4">J3*6</f>
        <v>0.76199999999998802</v>
      </c>
      <c r="M3" s="39">
        <f>L3*1</f>
        <v>0.76199999999998802</v>
      </c>
    </row>
    <row r="4" spans="1:13" x14ac:dyDescent="0.2">
      <c r="A4" t="s">
        <v>153</v>
      </c>
      <c r="B4" t="s">
        <v>2</v>
      </c>
      <c r="C4" t="s">
        <v>5</v>
      </c>
      <c r="D4" t="s">
        <v>17</v>
      </c>
      <c r="E4">
        <v>13.265000000000001</v>
      </c>
      <c r="F4">
        <v>5.0369999999999999</v>
      </c>
      <c r="G4">
        <f t="shared" si="0"/>
        <v>18.302</v>
      </c>
      <c r="H4">
        <v>17.463000000000001</v>
      </c>
      <c r="I4">
        <f t="shared" si="1"/>
        <v>4.1980000000000004</v>
      </c>
      <c r="J4">
        <f>F4-I4</f>
        <v>0.83899999999999952</v>
      </c>
      <c r="K4">
        <f t="shared" si="3"/>
        <v>19.98570747975225</v>
      </c>
      <c r="L4">
        <f t="shared" si="4"/>
        <v>5.0339999999999971</v>
      </c>
      <c r="M4" s="39">
        <f>L4*1</f>
        <v>5.0339999999999971</v>
      </c>
    </row>
    <row r="5" spans="1:13" x14ac:dyDescent="0.2">
      <c r="A5" t="s">
        <v>154</v>
      </c>
      <c r="B5" t="s">
        <v>2</v>
      </c>
      <c r="C5" t="s">
        <v>3</v>
      </c>
      <c r="D5" t="s">
        <v>161</v>
      </c>
      <c r="E5">
        <v>13.143000000000001</v>
      </c>
      <c r="F5">
        <v>4.9729999999999999</v>
      </c>
      <c r="G5">
        <f t="shared" si="0"/>
        <v>18.116</v>
      </c>
      <c r="H5">
        <v>17.478999999999999</v>
      </c>
      <c r="I5">
        <f t="shared" si="1"/>
        <v>4.3359999999999985</v>
      </c>
      <c r="J5">
        <f t="shared" si="2"/>
        <v>0.63700000000000134</v>
      </c>
      <c r="K5">
        <f t="shared" si="3"/>
        <v>14.690959409594132</v>
      </c>
      <c r="L5">
        <f t="shared" si="4"/>
        <v>3.8220000000000081</v>
      </c>
      <c r="M5">
        <f>L5*1</f>
        <v>3.8220000000000081</v>
      </c>
    </row>
    <row r="6" spans="1:13" x14ac:dyDescent="0.2">
      <c r="A6" t="s">
        <v>155</v>
      </c>
      <c r="B6" t="s">
        <v>2</v>
      </c>
      <c r="C6" t="s">
        <v>5</v>
      </c>
      <c r="D6" t="s">
        <v>161</v>
      </c>
      <c r="E6">
        <v>13.273</v>
      </c>
      <c r="F6">
        <v>5.1310000000000002</v>
      </c>
      <c r="G6">
        <f t="shared" si="0"/>
        <v>18.404</v>
      </c>
      <c r="H6">
        <v>17.411999999999999</v>
      </c>
      <c r="I6">
        <f t="shared" si="1"/>
        <v>4.1389999999999993</v>
      </c>
      <c r="J6">
        <f t="shared" si="2"/>
        <v>0.99200000000000088</v>
      </c>
      <c r="K6">
        <f t="shared" si="3"/>
        <v>23.967141821696085</v>
      </c>
      <c r="L6">
        <f t="shared" si="4"/>
        <v>5.9520000000000053</v>
      </c>
      <c r="M6">
        <f t="shared" ref="M6:M10" si="5">L6*1</f>
        <v>5.9520000000000053</v>
      </c>
    </row>
    <row r="7" spans="1:13" x14ac:dyDescent="0.2">
      <c r="A7" t="s">
        <v>157</v>
      </c>
      <c r="B7" t="s">
        <v>6</v>
      </c>
      <c r="C7" t="s">
        <v>3</v>
      </c>
      <c r="D7" t="s">
        <v>17</v>
      </c>
      <c r="E7">
        <v>13.26</v>
      </c>
      <c r="F7">
        <v>4.9550000000000001</v>
      </c>
      <c r="G7">
        <f t="shared" si="0"/>
        <v>18.215</v>
      </c>
      <c r="H7">
        <v>18.074000000000002</v>
      </c>
      <c r="I7">
        <f t="shared" si="1"/>
        <v>4.8140000000000018</v>
      </c>
      <c r="J7">
        <f t="shared" si="2"/>
        <v>0.14099999999999824</v>
      </c>
      <c r="K7">
        <f t="shared" si="3"/>
        <v>2.9289572081428785</v>
      </c>
      <c r="L7">
        <f t="shared" si="4"/>
        <v>0.84599999999998943</v>
      </c>
      <c r="M7" s="39">
        <f t="shared" si="5"/>
        <v>0.84599999999998943</v>
      </c>
    </row>
    <row r="8" spans="1:13" x14ac:dyDescent="0.2">
      <c r="A8" t="s">
        <v>156</v>
      </c>
      <c r="B8" t="s">
        <v>6</v>
      </c>
      <c r="C8" t="s">
        <v>5</v>
      </c>
      <c r="D8" t="s">
        <v>17</v>
      </c>
      <c r="E8">
        <v>13.276</v>
      </c>
      <c r="F8">
        <v>5.0069999999999997</v>
      </c>
      <c r="G8">
        <f t="shared" si="0"/>
        <v>18.283000000000001</v>
      </c>
      <c r="H8">
        <v>18.122</v>
      </c>
      <c r="I8">
        <f t="shared" si="1"/>
        <v>4.8460000000000001</v>
      </c>
      <c r="J8">
        <f t="shared" si="2"/>
        <v>0.16099999999999959</v>
      </c>
      <c r="K8">
        <f t="shared" si="3"/>
        <v>3.3223276929426246</v>
      </c>
      <c r="L8">
        <f t="shared" si="4"/>
        <v>0.96599999999999753</v>
      </c>
      <c r="M8" s="39">
        <f t="shared" si="5"/>
        <v>0.96599999999999753</v>
      </c>
    </row>
    <row r="9" spans="1:13" x14ac:dyDescent="0.2">
      <c r="A9" t="s">
        <v>158</v>
      </c>
      <c r="B9" t="s">
        <v>6</v>
      </c>
      <c r="C9" t="s">
        <v>3</v>
      </c>
      <c r="D9" t="s">
        <v>161</v>
      </c>
      <c r="E9">
        <v>13.23</v>
      </c>
      <c r="F9">
        <v>4.9820000000000002</v>
      </c>
      <c r="G9">
        <f t="shared" si="0"/>
        <v>18.212</v>
      </c>
      <c r="H9">
        <v>17.652999999999999</v>
      </c>
      <c r="I9">
        <f t="shared" si="1"/>
        <v>4.4229999999999983</v>
      </c>
      <c r="J9">
        <f t="shared" si="2"/>
        <v>0.55900000000000194</v>
      </c>
      <c r="K9">
        <f t="shared" si="3"/>
        <v>12.638480669229079</v>
      </c>
      <c r="L9">
        <f t="shared" si="4"/>
        <v>3.3540000000000116</v>
      </c>
      <c r="M9">
        <f t="shared" si="5"/>
        <v>3.3540000000000116</v>
      </c>
    </row>
    <row r="10" spans="1:13" x14ac:dyDescent="0.2">
      <c r="A10" t="s">
        <v>159</v>
      </c>
      <c r="B10" t="s">
        <v>6</v>
      </c>
      <c r="C10" t="s">
        <v>5</v>
      </c>
      <c r="D10" t="s">
        <v>161</v>
      </c>
      <c r="E10">
        <v>13.159000000000001</v>
      </c>
      <c r="F10">
        <v>5.0019999999999998</v>
      </c>
      <c r="G10">
        <f t="shared" si="0"/>
        <v>18.161000000000001</v>
      </c>
      <c r="H10">
        <v>17.565000000000001</v>
      </c>
      <c r="I10">
        <f t="shared" si="1"/>
        <v>4.4060000000000006</v>
      </c>
      <c r="J10">
        <f t="shared" si="2"/>
        <v>0.5959999999999992</v>
      </c>
      <c r="K10">
        <f t="shared" si="3"/>
        <v>13.527008624602793</v>
      </c>
      <c r="L10">
        <f t="shared" si="4"/>
        <v>3.5759999999999952</v>
      </c>
      <c r="M10">
        <f t="shared" si="5"/>
        <v>3.5759999999999952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LiCOR metadata</vt:lpstr>
      <vt:lpstr>submitted to igor</vt:lpstr>
      <vt:lpstr>SIP-Incubation-Masses-and-LiCOR</vt:lpstr>
      <vt:lpstr>Trace Gas Metadata</vt:lpstr>
      <vt:lpstr>Gravimetric Water 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Caro, Tristan A.</cp:lastModifiedBy>
  <cp:lastPrinted>2025-03-26T19:49:04Z</cp:lastPrinted>
  <dcterms:created xsi:type="dcterms:W3CDTF">2025-01-15T20:49:00Z</dcterms:created>
  <dcterms:modified xsi:type="dcterms:W3CDTF">2025-07-02T04:00:58Z</dcterms:modified>
</cp:coreProperties>
</file>
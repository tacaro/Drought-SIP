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916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tacaro/Documents/GitHub/DroughtSIP/data_output/"/>
    </mc:Choice>
  </mc:AlternateContent>
  <xr:revisionPtr revIDLastSave="0" documentId="13_ncr:1_{32B6D666-635B-D84D-AE03-9102035A9B3F}" xr6:coauthVersionLast="47" xr6:coauthVersionMax="47" xr10:uidLastSave="{00000000-0000-0000-0000-000000000000}"/>
  <bookViews>
    <workbookView xWindow="30240" yWindow="500" windowWidth="38400" windowHeight="21100" xr2:uid="{00000000-000D-0000-FFFF-FFFF00000000}"/>
  </bookViews>
  <sheets>
    <sheet name="MAIN" sheetId="1" r:id="rId1"/>
    <sheet name="SIP-Incubation-Masses-and-LiCOR" sheetId="2" r:id="rId2"/>
    <sheet name="Trace Gas Metadata" sheetId="3" r:id="rId3"/>
    <sheet name="Gravimetric Water Content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4" l="1"/>
  <c r="I2" i="4"/>
  <c r="H2" i="4"/>
  <c r="E208" i="3"/>
  <c r="E207" i="3"/>
  <c r="E206" i="3"/>
  <c r="E205" i="3"/>
  <c r="E204" i="3"/>
  <c r="E203" i="3"/>
  <c r="E202" i="3"/>
  <c r="E201" i="3"/>
  <c r="E200" i="3"/>
  <c r="E199" i="3"/>
  <c r="E198" i="3"/>
  <c r="E197" i="3"/>
  <c r="E196" i="3"/>
  <c r="E195" i="3"/>
  <c r="E194" i="3"/>
  <c r="E193" i="3"/>
  <c r="E192" i="3"/>
  <c r="E191" i="3"/>
  <c r="E190" i="3"/>
  <c r="E189" i="3"/>
  <c r="E188" i="3"/>
  <c r="E187" i="3"/>
  <c r="E186" i="3"/>
  <c r="E185" i="3"/>
  <c r="E184" i="3"/>
  <c r="E183" i="3"/>
  <c r="E182" i="3"/>
  <c r="E181" i="3"/>
  <c r="E180" i="3"/>
  <c r="E179" i="3"/>
  <c r="E178" i="3"/>
  <c r="E177" i="3"/>
  <c r="E176" i="3"/>
  <c r="E175" i="3"/>
  <c r="E174" i="3"/>
  <c r="E173" i="3"/>
  <c r="E172" i="3"/>
  <c r="E171" i="3"/>
  <c r="E170" i="3"/>
  <c r="E169" i="3"/>
  <c r="E168" i="3"/>
  <c r="E167" i="3"/>
  <c r="E166" i="3"/>
  <c r="E165" i="3"/>
  <c r="E164" i="3"/>
  <c r="E163" i="3"/>
  <c r="E162" i="3"/>
  <c r="E161" i="3"/>
  <c r="E160" i="3"/>
  <c r="E159" i="3"/>
  <c r="E158" i="3"/>
  <c r="E157" i="3"/>
  <c r="E156" i="3"/>
  <c r="E155" i="3"/>
  <c r="E154" i="3"/>
  <c r="E153" i="3"/>
  <c r="E152" i="3"/>
  <c r="E151" i="3"/>
  <c r="E150" i="3"/>
  <c r="E149" i="3"/>
  <c r="E148" i="3"/>
  <c r="E147" i="3"/>
  <c r="E146" i="3"/>
  <c r="E145" i="3"/>
  <c r="E144" i="3"/>
  <c r="E143" i="3"/>
  <c r="E142" i="3"/>
  <c r="E141" i="3"/>
  <c r="E140" i="3"/>
  <c r="E139" i="3"/>
  <c r="E138" i="3"/>
  <c r="E137" i="3"/>
  <c r="E136" i="3"/>
  <c r="E135" i="3"/>
  <c r="E134" i="3"/>
  <c r="E133" i="3"/>
  <c r="E132" i="3"/>
  <c r="E131" i="3"/>
  <c r="E130" i="3"/>
  <c r="E129" i="3"/>
  <c r="E128" i="3"/>
  <c r="E127" i="3"/>
  <c r="E126" i="3"/>
  <c r="E125" i="3"/>
  <c r="E124" i="3"/>
  <c r="E123" i="3"/>
  <c r="E122" i="3"/>
  <c r="E121" i="3"/>
  <c r="E120" i="3"/>
  <c r="E119" i="3"/>
  <c r="E118" i="3"/>
  <c r="E117" i="3"/>
  <c r="E116" i="3"/>
  <c r="E115" i="3"/>
  <c r="E114" i="3"/>
  <c r="E113" i="3"/>
  <c r="E112" i="3"/>
  <c r="E111" i="3"/>
  <c r="E110" i="3"/>
  <c r="E109" i="3"/>
  <c r="E108" i="3"/>
  <c r="E107" i="3"/>
  <c r="E106" i="3"/>
  <c r="E105" i="3"/>
  <c r="E104" i="3"/>
  <c r="E103" i="3"/>
  <c r="E102" i="3"/>
  <c r="E101" i="3"/>
  <c r="E100" i="3"/>
  <c r="E99" i="3"/>
  <c r="E98" i="3"/>
  <c r="E97" i="3"/>
  <c r="E96" i="3"/>
  <c r="E95" i="3"/>
  <c r="E94" i="3"/>
  <c r="E93" i="3"/>
  <c r="E92" i="3"/>
  <c r="E91" i="3"/>
  <c r="E90" i="3"/>
  <c r="E89" i="3"/>
  <c r="E88" i="3"/>
  <c r="E87" i="3"/>
  <c r="E86" i="3"/>
  <c r="E85" i="3"/>
  <c r="E84" i="3"/>
  <c r="E83" i="3"/>
  <c r="E82" i="3"/>
  <c r="E81" i="3"/>
  <c r="E80" i="3"/>
  <c r="E79" i="3"/>
  <c r="E78" i="3"/>
  <c r="E77" i="3"/>
  <c r="E76" i="3"/>
  <c r="E75" i="3"/>
  <c r="E74" i="3"/>
  <c r="E73" i="3"/>
  <c r="E72" i="3"/>
  <c r="E71" i="3"/>
  <c r="E70" i="3"/>
  <c r="E69" i="3"/>
  <c r="E68" i="3"/>
  <c r="E67" i="3"/>
  <c r="E66" i="3"/>
  <c r="E65" i="3"/>
  <c r="E64" i="3"/>
  <c r="E63" i="3"/>
  <c r="E62" i="3"/>
  <c r="E61" i="3"/>
  <c r="E60" i="3"/>
  <c r="E59" i="3"/>
  <c r="E58" i="3"/>
  <c r="E57" i="3"/>
  <c r="E56" i="3"/>
  <c r="E55" i="3"/>
  <c r="E54" i="3"/>
  <c r="E53" i="3"/>
  <c r="E52" i="3"/>
  <c r="E51" i="3"/>
  <c r="E50" i="3"/>
  <c r="E49" i="3"/>
  <c r="E48" i="3"/>
  <c r="E47" i="3"/>
  <c r="E46" i="3"/>
  <c r="E45" i="3"/>
  <c r="E44" i="3"/>
  <c r="E43" i="3"/>
  <c r="E42" i="3"/>
  <c r="E41" i="3"/>
  <c r="E40" i="3"/>
  <c r="E39" i="3"/>
  <c r="E38" i="3"/>
  <c r="E37" i="3"/>
  <c r="E36" i="3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9" i="1"/>
  <c r="N8" i="1"/>
  <c r="N7" i="1"/>
  <c r="F33" i="1"/>
  <c r="H33" i="1" s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4" i="1"/>
  <c r="F55" i="1"/>
  <c r="H55" i="1" s="1"/>
  <c r="F54" i="1"/>
  <c r="H54" i="1" s="1"/>
  <c r="F53" i="1"/>
  <c r="H53" i="1" s="1"/>
  <c r="F52" i="1"/>
  <c r="H52" i="1" s="1"/>
  <c r="F51" i="1"/>
  <c r="H51" i="1" s="1"/>
  <c r="F50" i="1"/>
  <c r="H50" i="1" s="1"/>
  <c r="F49" i="1"/>
  <c r="H49" i="1" s="1"/>
  <c r="F48" i="1"/>
  <c r="H48" i="1" s="1"/>
  <c r="F47" i="1"/>
  <c r="H47" i="1" s="1"/>
  <c r="F46" i="1"/>
  <c r="H46" i="1" s="1"/>
  <c r="F45" i="1"/>
  <c r="H45" i="1" s="1"/>
  <c r="F44" i="1"/>
  <c r="H44" i="1" s="1"/>
  <c r="F43" i="1"/>
  <c r="F42" i="1"/>
  <c r="H42" i="1" s="1"/>
  <c r="F41" i="1"/>
  <c r="H41" i="1" s="1"/>
  <c r="F40" i="1"/>
  <c r="H40" i="1" s="1"/>
  <c r="F39" i="1"/>
  <c r="H39" i="1" s="1"/>
  <c r="F38" i="1"/>
  <c r="H38" i="1" s="1"/>
  <c r="F37" i="1"/>
  <c r="H37" i="1" s="1"/>
  <c r="F36" i="1"/>
  <c r="H36" i="1" s="1"/>
  <c r="F35" i="1"/>
  <c r="H35" i="1" s="1"/>
  <c r="F34" i="1"/>
  <c r="H34" i="1" s="1"/>
  <c r="F32" i="1"/>
  <c r="H32" i="1" s="1"/>
  <c r="F31" i="1"/>
  <c r="H31" i="1" s="1"/>
  <c r="F30" i="1"/>
  <c r="F24" i="1"/>
  <c r="H24" i="1" s="1"/>
  <c r="F18" i="1"/>
  <c r="H18" i="1" s="1"/>
  <c r="F11" i="1"/>
  <c r="H11" i="1" s="1"/>
  <c r="F5" i="1"/>
  <c r="H5" i="1" s="1"/>
  <c r="AF33" i="1"/>
  <c r="AF32" i="1"/>
  <c r="AF31" i="1"/>
  <c r="AF30" i="1"/>
  <c r="AF29" i="1"/>
  <c r="AF28" i="1"/>
  <c r="AN27" i="1"/>
  <c r="AN26" i="1"/>
  <c r="AN25" i="1"/>
  <c r="AN24" i="1"/>
  <c r="AN23" i="1"/>
  <c r="AN22" i="1"/>
  <c r="AN21" i="1"/>
  <c r="AN20" i="1"/>
  <c r="AN19" i="1"/>
  <c r="AN18" i="1"/>
  <c r="AN17" i="1"/>
  <c r="AN16" i="1"/>
  <c r="AN207" i="1"/>
  <c r="AN206" i="1"/>
  <c r="AN205" i="1"/>
  <c r="AN204" i="1"/>
  <c r="AN203" i="1"/>
  <c r="AN202" i="1"/>
  <c r="AN201" i="1"/>
  <c r="AN200" i="1"/>
  <c r="AN199" i="1"/>
  <c r="AN198" i="1"/>
  <c r="AN197" i="1"/>
  <c r="AN196" i="1"/>
  <c r="AN195" i="1"/>
  <c r="AN194" i="1"/>
  <c r="AN193" i="1"/>
  <c r="AN192" i="1"/>
  <c r="AN191" i="1"/>
  <c r="AN190" i="1"/>
  <c r="AN189" i="1"/>
  <c r="AN188" i="1"/>
  <c r="AN187" i="1"/>
  <c r="AN186" i="1"/>
  <c r="AN185" i="1"/>
  <c r="AN184" i="1"/>
  <c r="AN183" i="1"/>
  <c r="AN182" i="1"/>
  <c r="AN181" i="1"/>
  <c r="AN180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5" i="1"/>
  <c r="AN144" i="1"/>
  <c r="AN143" i="1"/>
  <c r="AN142" i="1"/>
  <c r="AN141" i="1"/>
  <c r="AN140" i="1"/>
  <c r="AN139" i="1"/>
  <c r="AN138" i="1"/>
  <c r="AN137" i="1"/>
  <c r="AN136" i="1"/>
  <c r="AN135" i="1"/>
  <c r="AN134" i="1"/>
  <c r="AN133" i="1"/>
  <c r="AN132" i="1"/>
  <c r="AN131" i="1"/>
  <c r="AN130" i="1"/>
  <c r="AN129" i="1"/>
  <c r="AN128" i="1"/>
  <c r="AN127" i="1"/>
  <c r="AN126" i="1"/>
  <c r="AN125" i="1"/>
  <c r="AN124" i="1"/>
  <c r="AN123" i="1"/>
  <c r="AN122" i="1"/>
  <c r="AN121" i="1"/>
  <c r="AN120" i="1"/>
  <c r="AN119" i="1"/>
  <c r="AN118" i="1"/>
  <c r="AN117" i="1"/>
  <c r="AN116" i="1"/>
  <c r="AN115" i="1"/>
  <c r="AN114" i="1"/>
  <c r="AN113" i="1"/>
  <c r="AN112" i="1"/>
  <c r="AN111" i="1"/>
  <c r="AN110" i="1"/>
  <c r="AN109" i="1"/>
  <c r="AN108" i="1"/>
  <c r="AN107" i="1"/>
  <c r="AN106" i="1"/>
  <c r="AN105" i="1"/>
  <c r="AN104" i="1"/>
  <c r="AN103" i="1"/>
  <c r="AN102" i="1"/>
  <c r="AN101" i="1"/>
  <c r="AN100" i="1"/>
  <c r="AN99" i="1"/>
  <c r="AN98" i="1"/>
  <c r="AN97" i="1"/>
  <c r="AN96" i="1"/>
  <c r="AN95" i="1"/>
  <c r="AN94" i="1"/>
  <c r="AN93" i="1"/>
  <c r="AN92" i="1"/>
  <c r="AN91" i="1"/>
  <c r="AN90" i="1"/>
  <c r="AN89" i="1"/>
  <c r="AN88" i="1"/>
  <c r="AN87" i="1"/>
  <c r="AN86" i="1"/>
  <c r="AN85" i="1"/>
  <c r="AN84" i="1"/>
  <c r="AN83" i="1"/>
  <c r="AN82" i="1"/>
  <c r="AN81" i="1"/>
  <c r="AN80" i="1"/>
  <c r="AN79" i="1"/>
  <c r="AN78" i="1"/>
  <c r="AN77" i="1"/>
  <c r="AN76" i="1"/>
  <c r="AN75" i="1"/>
  <c r="AN74" i="1"/>
  <c r="AN73" i="1"/>
  <c r="AN72" i="1"/>
  <c r="AN71" i="1"/>
  <c r="AN70" i="1"/>
  <c r="AN69" i="1"/>
  <c r="AN68" i="1"/>
  <c r="AN67" i="1"/>
  <c r="AN66" i="1"/>
  <c r="AN65" i="1"/>
  <c r="AN64" i="1"/>
  <c r="AN63" i="1"/>
  <c r="AN62" i="1"/>
  <c r="AN61" i="1"/>
  <c r="AN60" i="1"/>
  <c r="AN59" i="1"/>
  <c r="AN58" i="1"/>
  <c r="AN57" i="1"/>
  <c r="AN56" i="1"/>
  <c r="AN55" i="1"/>
  <c r="AN54" i="1"/>
  <c r="AN53" i="1"/>
  <c r="AN52" i="1"/>
  <c r="AN51" i="1"/>
  <c r="AN50" i="1"/>
  <c r="AN49" i="1"/>
  <c r="AN48" i="1"/>
  <c r="AN47" i="1"/>
  <c r="AN46" i="1"/>
  <c r="AN45" i="1"/>
  <c r="AN44" i="1"/>
  <c r="AN43" i="1"/>
  <c r="AN42" i="1"/>
  <c r="AN41" i="1"/>
  <c r="AN40" i="1"/>
  <c r="AN39" i="1"/>
  <c r="AN38" i="1"/>
  <c r="AN37" i="1"/>
  <c r="AN36" i="1"/>
  <c r="AN35" i="1"/>
  <c r="AN34" i="1"/>
  <c r="N5" i="1"/>
  <c r="N6" i="1"/>
  <c r="N13" i="1"/>
  <c r="N14" i="1"/>
  <c r="N15" i="1"/>
  <c r="N10" i="1"/>
  <c r="N11" i="1"/>
  <c r="N12" i="1"/>
  <c r="N16" i="1"/>
  <c r="N17" i="1"/>
  <c r="N18" i="1"/>
  <c r="N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34" i="1"/>
  <c r="AF35" i="1"/>
  <c r="AF36" i="1"/>
  <c r="AF37" i="1"/>
  <c r="AF38" i="1"/>
  <c r="AF39" i="1"/>
  <c r="AF4" i="1"/>
  <c r="AS28" i="1"/>
  <c r="AS27" i="1"/>
  <c r="AS26" i="1"/>
  <c r="AS25" i="1"/>
  <c r="AS24" i="1"/>
  <c r="AS23" i="1"/>
  <c r="AS22" i="1"/>
  <c r="AS21" i="1"/>
  <c r="AS20" i="1"/>
  <c r="AS19" i="1"/>
  <c r="AS18" i="1"/>
  <c r="AS17" i="1"/>
  <c r="AS15" i="1"/>
  <c r="AS14" i="1"/>
  <c r="AS13" i="1"/>
  <c r="AS12" i="1"/>
  <c r="AS5" i="1"/>
  <c r="AS6" i="1"/>
  <c r="AS7" i="1"/>
  <c r="AS8" i="1"/>
  <c r="AS9" i="1"/>
  <c r="AS10" i="1"/>
  <c r="AS11" i="1"/>
  <c r="AS4" i="1"/>
  <c r="AN33" i="1"/>
  <c r="AN32" i="1"/>
  <c r="AN31" i="1"/>
  <c r="AN30" i="1"/>
  <c r="AN29" i="1"/>
  <c r="AN28" i="1"/>
  <c r="AN15" i="1"/>
  <c r="AN14" i="1"/>
  <c r="AN13" i="1"/>
  <c r="AN12" i="1"/>
  <c r="AN11" i="1"/>
  <c r="AN10" i="1"/>
  <c r="AN5" i="1"/>
  <c r="AN6" i="1"/>
  <c r="AN7" i="1"/>
  <c r="AN8" i="1"/>
  <c r="AN9" i="1"/>
  <c r="AN4" i="1"/>
  <c r="F6" i="1"/>
  <c r="H6" i="1" s="1"/>
  <c r="F7" i="1"/>
  <c r="H7" i="1" s="1"/>
  <c r="F8" i="1"/>
  <c r="H8" i="1" s="1"/>
  <c r="F9" i="1"/>
  <c r="H9" i="1" s="1"/>
  <c r="F10" i="1"/>
  <c r="H10" i="1" s="1"/>
  <c r="F12" i="1"/>
  <c r="H12" i="1" s="1"/>
  <c r="F13" i="1"/>
  <c r="H13" i="1" s="1"/>
  <c r="F14" i="1"/>
  <c r="H14" i="1" s="1"/>
  <c r="F15" i="1"/>
  <c r="H15" i="1" s="1"/>
  <c r="F16" i="1"/>
  <c r="H16" i="1" s="1"/>
  <c r="F17" i="1"/>
  <c r="F19" i="1"/>
  <c r="H19" i="1" s="1"/>
  <c r="F20" i="1"/>
  <c r="H20" i="1" s="1"/>
  <c r="F21" i="1"/>
  <c r="H21" i="1" s="1"/>
  <c r="F22" i="1"/>
  <c r="H22" i="1" s="1"/>
  <c r="F23" i="1"/>
  <c r="H23" i="1" s="1"/>
  <c r="F25" i="1"/>
  <c r="H25" i="1" s="1"/>
  <c r="F26" i="1"/>
  <c r="H26" i="1" s="1"/>
  <c r="F27" i="1"/>
  <c r="H27" i="1" s="1"/>
  <c r="F28" i="1"/>
  <c r="H28" i="1" s="1"/>
  <c r="F29" i="1"/>
  <c r="H29" i="1" s="1"/>
  <c r="F4" i="1"/>
</calcChain>
</file>

<file path=xl/sharedStrings.xml><?xml version="1.0" encoding="utf-8"?>
<sst xmlns="http://schemas.openxmlformats.org/spreadsheetml/2006/main" count="2297" uniqueCount="174">
  <si>
    <t>site</t>
  </si>
  <si>
    <t>drought</t>
  </si>
  <si>
    <t>JCR</t>
  </si>
  <si>
    <t>ROS</t>
  </si>
  <si>
    <t>WET</t>
  </si>
  <si>
    <t>SKY</t>
  </si>
  <si>
    <t>LOM</t>
  </si>
  <si>
    <t>PAL</t>
  </si>
  <si>
    <t>Lipid Analyses</t>
  </si>
  <si>
    <t>Metagenomics</t>
  </si>
  <si>
    <t>Metabolomics</t>
  </si>
  <si>
    <t>replicate</t>
  </si>
  <si>
    <t>dt_hr</t>
  </si>
  <si>
    <t>n</t>
  </si>
  <si>
    <t>CO2/CH4 flux</t>
  </si>
  <si>
    <t>15 mL withdrawn using gas-tight syringe, injected into 12mL glass exetainer</t>
  </si>
  <si>
    <t>timepoint</t>
  </si>
  <si>
    <t>PRE</t>
  </si>
  <si>
    <t>Trace Gas Samples</t>
  </si>
  <si>
    <t>sample_id</t>
  </si>
  <si>
    <t>SIP-TYPE</t>
  </si>
  <si>
    <t>VAPOR</t>
  </si>
  <si>
    <t>dt</t>
  </si>
  <si>
    <t>pre</t>
  </si>
  <si>
    <t>1h</t>
  </si>
  <si>
    <t>6h</t>
  </si>
  <si>
    <t>24h</t>
  </si>
  <si>
    <t>48h</t>
  </si>
  <si>
    <t>Using LiCOR - these aren't physical samples but should be notated in the software with sample_id</t>
  </si>
  <si>
    <t>BLANK</t>
  </si>
  <si>
    <t>A</t>
  </si>
  <si>
    <t>B</t>
  </si>
  <si>
    <t>24hr</t>
  </si>
  <si>
    <t>0-10cm soil, homogenized, 5g per tube. If wet, add 0.5% D2O, if dry, see vapor-SIP incubation. Note that vapor 0hr time points don't exist because they are redundant with wet-SIP 0hr time points!</t>
  </si>
  <si>
    <t>fluid sampled from incubation, 0.2µm filtered, frozen for storage in 15 mL falcon tube</t>
  </si>
  <si>
    <t>NA</t>
  </si>
  <si>
    <t>rep</t>
  </si>
  <si>
    <t>0hr</t>
  </si>
  <si>
    <t>72hr</t>
  </si>
  <si>
    <t>DNA-SIP</t>
  </si>
  <si>
    <t xml:space="preserve">300 mg of homogenized, sieved soil added to a 2 mL falcon tube, mixed with 300 µL of 20% 18OH2, incubated for 72hrs. Timepoint zero are not mixed with 18O water and are instead frozen at -80˚C. </t>
  </si>
  <si>
    <t>2H Water Isotopes</t>
  </si>
  <si>
    <t>18O water isotopes</t>
  </si>
  <si>
    <t>AMBIENT</t>
  </si>
  <si>
    <t>0.5hr</t>
  </si>
  <si>
    <t>LS-JCR-ROS-WET-0hr</t>
  </si>
  <si>
    <t>LS-JCR-ROS-WET-1hr</t>
  </si>
  <si>
    <t>LS-JCR-ROS-WET-3hr</t>
  </si>
  <si>
    <t>LS-JCR-ROS-WET-6hr</t>
  </si>
  <si>
    <t>LS-JCR-ROS-WET-24hr</t>
  </si>
  <si>
    <t>LS-JCR-ROS-WET-48hr</t>
  </si>
  <si>
    <t>LS-JCR-ROS-WET-72hr</t>
  </si>
  <si>
    <t>LS-JCR-SKY-WET-0hr</t>
  </si>
  <si>
    <t>LS-JCR-SKY-WET-1hr</t>
  </si>
  <si>
    <t>LS-JCR-SKY-WET-3hr</t>
  </si>
  <si>
    <t>LS-JCR-SKY-WET-6hr</t>
  </si>
  <si>
    <t>LS-JCR-SKY-WET-24hr</t>
  </si>
  <si>
    <t>LS-JCR-SKY-WET-48hr</t>
  </si>
  <si>
    <t>LS-JCR-SKY-WET-72hr</t>
  </si>
  <si>
    <t>mass (g)</t>
  </si>
  <si>
    <t>LS-LOM-ROS-WET-0hr</t>
  </si>
  <si>
    <t>LS-LOM-ROS-WET-1hr</t>
  </si>
  <si>
    <t>LS-LOM-ROS-WET-3hr</t>
  </si>
  <si>
    <t>LS-LOM-ROS-WET-6hr</t>
  </si>
  <si>
    <t>LS-LOM-ROS-WET-24hr</t>
  </si>
  <si>
    <t>LS-LOM-ROS-WET-48hr</t>
  </si>
  <si>
    <t>LS-LOM-ROS-WET-72hr</t>
  </si>
  <si>
    <t>LS-LOM-SKY-WET-0hr</t>
  </si>
  <si>
    <t>LS-LOM-SKY-WET-1hr</t>
  </si>
  <si>
    <t>LS-LOM-SKY-WET-3hr</t>
  </si>
  <si>
    <t>LS-LOM-SKY-WET-6hr</t>
  </si>
  <si>
    <t>LS-LOM-SKY-WET-24hr</t>
  </si>
  <si>
    <t>LS-LOM-SKY-WET-48hr</t>
  </si>
  <si>
    <t>LS-LOM-SKY-WET-72hr</t>
  </si>
  <si>
    <t>LS-JCR-ROS-VAPOR-24hr</t>
  </si>
  <si>
    <t>LS-JCR-ROS-VAPOR-48hr</t>
  </si>
  <si>
    <t>LS-JCR-ROS-VAPOR-72hr</t>
  </si>
  <si>
    <t>LS-JCR-SKY-VAPOR-24hr</t>
  </si>
  <si>
    <t>LS-JCR-SKY-VAPOR-48hr</t>
  </si>
  <si>
    <t>LS-JCR-SKY-VAPOR-72hr</t>
  </si>
  <si>
    <t>LS-LOM-ROS-VAPOR-24hr</t>
  </si>
  <si>
    <t>LS-LOM-ROS-VAPOR-48hr</t>
  </si>
  <si>
    <t>LS-LOM-ROS-VAPOR-72hr</t>
  </si>
  <si>
    <t>LS-LOM-SKY-VAPOR-24hr</t>
  </si>
  <si>
    <t>LS-LOM-SKY-VAPOR-48hr</t>
  </si>
  <si>
    <t>LS-LOM-SKY-VAPOR-72hr</t>
  </si>
  <si>
    <t>CUE-JCR-ROS-0hr-1</t>
  </si>
  <si>
    <t>CUE-JCR-ROS-0hr-2</t>
  </si>
  <si>
    <t>CUE-JCR-ROS-0hr-3</t>
  </si>
  <si>
    <t>CUE-JCR-ROS-24hr-1</t>
  </si>
  <si>
    <t>CUE-JCR-ROS-24hr-2</t>
  </si>
  <si>
    <t>CUE-JCR-ROS-24hr-3</t>
  </si>
  <si>
    <t>CUE-JCR-ROS-72hr-1</t>
  </si>
  <si>
    <t>CUE-JCR-ROS-72hr-2</t>
  </si>
  <si>
    <t>CUE-JCR-ROS-72hr-3</t>
  </si>
  <si>
    <t>CUE-JCR-SKY-0hr-1</t>
  </si>
  <si>
    <t>CUE-JCR-SKY-0hr-2</t>
  </si>
  <si>
    <t>CUE-JCR-SKY-0hr-3</t>
  </si>
  <si>
    <t>CUE-JCR-SKY-24hr-1</t>
  </si>
  <si>
    <t>CUE-JCR-SKY-24hr-2</t>
  </si>
  <si>
    <t>CUE-JCR-SKY-24hr-3</t>
  </si>
  <si>
    <t>CUE-JCR-SKY-72hr-1</t>
  </si>
  <si>
    <t>CUE-JCR-SKY-72hr-2</t>
  </si>
  <si>
    <t>CUE-JCR-SKY-72hr-3</t>
  </si>
  <si>
    <t>CUE-LOM-ROS-0hr-1</t>
  </si>
  <si>
    <t>CUE-LOM-ROS-0hr-2</t>
  </si>
  <si>
    <t>CUE-LOM-ROS-0hr-3</t>
  </si>
  <si>
    <t>CUE-LOM-ROS-24hr-1</t>
  </si>
  <si>
    <t>CUE-LOM-ROS-24hr-2</t>
  </si>
  <si>
    <t>CUE-LOM-ROS-24hr-3</t>
  </si>
  <si>
    <t>CUE-LOM-ROS-72hr-1</t>
  </si>
  <si>
    <t>CUE-LOM-ROS-72hr-2</t>
  </si>
  <si>
    <t>CUE-LOM-ROS-72hr-3</t>
  </si>
  <si>
    <t>CUE-LOM-SKY-0hr-1</t>
  </si>
  <si>
    <t>CUE-LOM-SKY-0hr-2</t>
  </si>
  <si>
    <t>CUE-LOM-SKY-0hr-3</t>
  </si>
  <si>
    <t>CUE-LOM-SKY-24hr-1</t>
  </si>
  <si>
    <t>CUE-LOM-SKY-24hr-2</t>
  </si>
  <si>
    <t>CUE-LOM-SKY-24hr-3</t>
  </si>
  <si>
    <t>CUE-LOM-SKY-72hr-1</t>
  </si>
  <si>
    <t>CUE-LOM-SKY-72hr-2</t>
  </si>
  <si>
    <t>CUE-LOM-SKY-72hr-3</t>
  </si>
  <si>
    <t>experiment</t>
  </si>
  <si>
    <t>lipid-SIP</t>
  </si>
  <si>
    <t>vapor-SIP</t>
  </si>
  <si>
    <t>PRE_LICOR_time_start</t>
  </si>
  <si>
    <t>PRE_LICOR_time_end</t>
  </si>
  <si>
    <t>POST_LICOR_time_start</t>
  </si>
  <si>
    <t>POST_LICOR_time_end</t>
  </si>
  <si>
    <t>PRE_LICOR_vol_ml</t>
  </si>
  <si>
    <t>POST_LICOR_vol_ml</t>
  </si>
  <si>
    <t>comment</t>
  </si>
  <si>
    <t>SIP_start</t>
  </si>
  <si>
    <t>SIP_end</t>
  </si>
  <si>
    <t>0-10cm soil, homogenized, 6 g soil (dry weight) placed in 50 mL falcon tube, amended with 6 mL H2O. Flash frozen at timepoint. If "pre" sampled before water. If "post", sampled 72hr after rain. Biological replicates.</t>
  </si>
  <si>
    <t>time_start</t>
  </si>
  <si>
    <t>time_end</t>
  </si>
  <si>
    <t>LS-JCR-SKY-VAPOR-24hr-H2O</t>
  </si>
  <si>
    <t>LS-JCR-SKY-VAPOR-48hr-H2O</t>
  </si>
  <si>
    <t>LS-JCR-SKY-VAPOR-72hr-H2O</t>
  </si>
  <si>
    <t>LS-JCR-ROS-VAPOR-24hr-H2O</t>
  </si>
  <si>
    <t>LS-JCR-ROS-VAPOR-48hr-H2O</t>
  </si>
  <si>
    <t>LS-JCR-ROS-VAPOR-72hr-H2O</t>
  </si>
  <si>
    <t>LS-LOM-ROS-VAPOR-24hr-H2O</t>
  </si>
  <si>
    <t>LS-LOM-ROS-VAPOR-48hr-H2O</t>
  </si>
  <si>
    <t>LS-LOM-ROS-VAPOR-72hr-H2O</t>
  </si>
  <si>
    <t>LS-LOM-SKY-VAPOR-24hr-H2O</t>
  </si>
  <si>
    <t>LS-LOM-SKY-VAPOR-48hr-H2O</t>
  </si>
  <si>
    <t>LS-LOM-SKY-VAPOR-72hr-H2O</t>
  </si>
  <si>
    <t>possible syringe malfunction during injection. Check data</t>
  </si>
  <si>
    <t>12 mL withdrawn using gas-tight syringe, injected into evacuated [modified] 12mL glass exetainer</t>
  </si>
  <si>
    <t>dt_min</t>
  </si>
  <si>
    <t>Key:
site: JCR = "Jalama Canyon Ranch", LOM = "Loma Ridge"
drought: ROS = "Rain-out-shelter", SKY = control
timepoint = time after rewetting event in hours
dt_min = minutes after PVC flux chamber was put onto soil
sample_id = concatenated unique id</t>
  </si>
  <si>
    <t>JCR-ROS-PRE</t>
  </si>
  <si>
    <t>JCR-SKY-PRE</t>
  </si>
  <si>
    <t>JCR-ROS-POST</t>
  </si>
  <si>
    <t>JCR-SKY-POST</t>
  </si>
  <si>
    <t>LOM-SKY-PRE</t>
  </si>
  <si>
    <t>LOM-ROS-PRE</t>
  </si>
  <si>
    <t>LOM-ROS-POST</t>
  </si>
  <si>
    <t>LOM-SKY-POST</t>
  </si>
  <si>
    <t>pre_or_post_rewetting</t>
  </si>
  <si>
    <t>POST</t>
  </si>
  <si>
    <t>Loma Ridge</t>
  </si>
  <si>
    <t>condition</t>
  </si>
  <si>
    <t>tin_weight_g</t>
  </si>
  <si>
    <t>dry_soil_w_tin_g</t>
  </si>
  <si>
    <t>moist_soil_tared_g</t>
  </si>
  <si>
    <t>dry_soil_adj_g</t>
  </si>
  <si>
    <t>EXAMPLE</t>
  </si>
  <si>
    <t>mass_h2O_g</t>
  </si>
  <si>
    <t>GMC (%)</t>
  </si>
  <si>
    <t>possible loss of pressure in exetainer</t>
  </si>
  <si>
    <t>note possible syringe malfunction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</si>
</sst>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\ h:mm;@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DE9D9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1" fillId="0" borderId="0" xfId="0" applyFont="1" applyAlignment="1">
      <alignment horizontal="center"/>
    </xf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0" borderId="0" xfId="0" applyAlignment="1">
      <alignment horizontal="center" wrapText="1"/>
    </xf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3" borderId="4" xfId="0" applyFill="1" applyBorder="1"/>
    <xf numFmtId="0" fontId="0" fillId="3" borderId="5" xfId="0" applyFill="1" applyBorder="1"/>
    <xf numFmtId="0" fontId="0" fillId="3" borderId="6" xfId="0" applyFill="1" applyBorder="1"/>
    <xf numFmtId="0" fontId="0" fillId="3" borderId="7" xfId="0" applyFill="1" applyBorder="1"/>
    <xf numFmtId="0" fontId="0" fillId="3" borderId="8" xfId="0" applyFill="1" applyBorder="1"/>
    <xf numFmtId="0" fontId="0" fillId="4" borderId="1" xfId="0" applyFill="1" applyBorder="1"/>
    <xf numFmtId="0" fontId="0" fillId="4" borderId="2" xfId="0" applyFill="1" applyBorder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4" borderId="6" xfId="0" applyFill="1" applyBorder="1"/>
    <xf numFmtId="0" fontId="0" fillId="4" borderId="7" xfId="0" applyFill="1" applyBorder="1"/>
    <xf numFmtId="0" fontId="0" fillId="4" borderId="8" xfId="0" applyFill="1" applyBorder="1"/>
    <xf numFmtId="0" fontId="0" fillId="5" borderId="1" xfId="0" applyFill="1" applyBorder="1"/>
    <xf numFmtId="0" fontId="0" fillId="5" borderId="2" xfId="0" applyFill="1" applyBorder="1"/>
    <xf numFmtId="0" fontId="0" fillId="5" borderId="3" xfId="0" applyFill="1" applyBorder="1"/>
    <xf numFmtId="0" fontId="0" fillId="5" borderId="4" xfId="0" applyFill="1" applyBorder="1"/>
    <xf numFmtId="0" fontId="0" fillId="5" borderId="5" xfId="0" applyFill="1" applyBorder="1"/>
    <xf numFmtId="0" fontId="0" fillId="5" borderId="6" xfId="0" applyFill="1" applyBorder="1"/>
    <xf numFmtId="0" fontId="0" fillId="5" borderId="7" xfId="0" applyFill="1" applyBorder="1"/>
    <xf numFmtId="0" fontId="0" fillId="5" borderId="8" xfId="0" applyFill="1" applyBorder="1"/>
    <xf numFmtId="0" fontId="2" fillId="7" borderId="6" xfId="0" applyFont="1" applyFill="1" applyBorder="1"/>
    <xf numFmtId="0" fontId="2" fillId="7" borderId="7" xfId="0" applyFont="1" applyFill="1" applyBorder="1"/>
    <xf numFmtId="0" fontId="2" fillId="7" borderId="8" xfId="0" applyFont="1" applyFill="1" applyBorder="1"/>
    <xf numFmtId="0" fontId="2" fillId="7" borderId="1" xfId="0" applyFont="1" applyFill="1" applyBorder="1"/>
    <xf numFmtId="0" fontId="2" fillId="7" borderId="2" xfId="0" applyFont="1" applyFill="1" applyBorder="1"/>
    <xf numFmtId="0" fontId="2" fillId="7" borderId="3" xfId="0" applyFont="1" applyFill="1" applyBorder="1"/>
    <xf numFmtId="0" fontId="2" fillId="7" borderId="4" xfId="0" applyFont="1" applyFill="1" applyBorder="1"/>
    <xf numFmtId="0" fontId="2" fillId="7" borderId="0" xfId="0" applyFont="1" applyFill="1"/>
    <xf numFmtId="0" fontId="2" fillId="7" borderId="5" xfId="0" applyFont="1" applyFill="1" applyBorder="1"/>
    <xf numFmtId="0" fontId="1" fillId="0" borderId="0" xfId="0" applyFont="1"/>
    <xf numFmtId="0" fontId="0" fillId="6" borderId="1" xfId="0" applyFill="1" applyBorder="1"/>
    <xf numFmtId="0" fontId="0" fillId="6" borderId="2" xfId="0" applyFill="1" applyBorder="1"/>
    <xf numFmtId="0" fontId="0" fillId="6" borderId="3" xfId="0" applyFill="1" applyBorder="1"/>
    <xf numFmtId="0" fontId="0" fillId="6" borderId="4" xfId="0" applyFill="1" applyBorder="1"/>
    <xf numFmtId="0" fontId="0" fillId="6" borderId="0" xfId="0" applyFill="1"/>
    <xf numFmtId="0" fontId="0" fillId="6" borderId="5" xfId="0" applyFill="1" applyBorder="1"/>
    <xf numFmtId="0" fontId="0" fillId="6" borderId="6" xfId="0" applyFill="1" applyBorder="1"/>
    <xf numFmtId="0" fontId="0" fillId="6" borderId="7" xfId="0" applyFill="1" applyBorder="1"/>
    <xf numFmtId="0" fontId="0" fillId="6" borderId="8" xfId="0" applyFill="1" applyBorder="1"/>
    <xf numFmtId="0" fontId="0" fillId="2" borderId="0" xfId="0" applyFill="1" applyAlignment="1">
      <alignment wrapText="1"/>
    </xf>
    <xf numFmtId="0" fontId="1" fillId="2" borderId="0" xfId="0" applyFont="1" applyFill="1" applyAlignment="1">
      <alignment horizontal="center"/>
    </xf>
    <xf numFmtId="0" fontId="0" fillId="2" borderId="0" xfId="0" applyFill="1" applyAlignment="1">
      <alignment horizontal="center" wrapText="1"/>
    </xf>
    <xf numFmtId="0" fontId="0" fillId="9" borderId="0" xfId="0" applyFill="1"/>
    <xf numFmtId="22" fontId="0" fillId="0" borderId="0" xfId="0" applyNumberFormat="1"/>
    <xf numFmtId="164" fontId="1" fillId="0" borderId="0" xfId="0" applyNumberFormat="1" applyFont="1"/>
    <xf numFmtId="164" fontId="0" fillId="0" borderId="0" xfId="0" applyNumberFormat="1"/>
    <xf numFmtId="22" fontId="0" fillId="3" borderId="0" xfId="0" applyNumberFormat="1" applyFill="1"/>
    <xf numFmtId="22" fontId="0" fillId="5" borderId="0" xfId="0" applyNumberFormat="1" applyFill="1"/>
    <xf numFmtId="164" fontId="1" fillId="2" borderId="0" xfId="0" applyNumberFormat="1" applyFont="1" applyFill="1" applyAlignment="1">
      <alignment horizontal="center"/>
    </xf>
    <xf numFmtId="164" fontId="0" fillId="2" borderId="0" xfId="0" applyNumberFormat="1" applyFill="1" applyAlignment="1">
      <alignment horizontal="center" wrapText="1"/>
    </xf>
    <xf numFmtId="164" fontId="1" fillId="0" borderId="0" xfId="0" applyNumberFormat="1" applyFont="1" applyAlignment="1">
      <alignment horizontal="center"/>
    </xf>
    <xf numFmtId="164" fontId="0" fillId="3" borderId="0" xfId="0" applyNumberFormat="1" applyFill="1"/>
    <xf numFmtId="164" fontId="0" fillId="5" borderId="0" xfId="0" applyNumberFormat="1" applyFill="1"/>
    <xf numFmtId="164" fontId="0" fillId="10" borderId="0" xfId="0" applyNumberFormat="1" applyFill="1"/>
    <xf numFmtId="164" fontId="0" fillId="9" borderId="0" xfId="0" applyNumberFormat="1" applyFill="1"/>
    <xf numFmtId="164" fontId="0" fillId="11" borderId="0" xfId="0" applyNumberFormat="1" applyFill="1"/>
    <xf numFmtId="0" fontId="0" fillId="8" borderId="0" xfId="0" applyFill="1" applyAlignment="1">
      <alignment horizontal="center" wrapText="1"/>
    </xf>
    <xf numFmtId="0" fontId="1" fillId="8" borderId="0" xfId="0" applyFont="1" applyFill="1" applyAlignment="1">
      <alignment horizontal="center"/>
    </xf>
    <xf numFmtId="2" fontId="1" fillId="0" borderId="0" xfId="0" applyNumberFormat="1" applyFont="1"/>
    <xf numFmtId="2" fontId="0" fillId="0" borderId="0" xfId="0" applyNumberFormat="1"/>
    <xf numFmtId="0" fontId="1" fillId="2" borderId="0" xfId="0" applyFont="1" applyFill="1" applyAlignment="1">
      <alignment horizontal="center"/>
    </xf>
    <xf numFmtId="0" fontId="0" fillId="2" borderId="0" xfId="0" applyFill="1" applyAlignment="1">
      <alignment horizontal="center" wrapText="1"/>
    </xf>
    <xf numFmtId="0" fontId="0" fillId="8" borderId="0" xfId="0" applyFill="1" applyAlignment="1">
      <alignment horizontal="center" wrapText="1"/>
    </xf>
    <xf numFmtId="0" fontId="1" fillId="8" borderId="0" xfId="0" applyFont="1" applyFill="1" applyAlignment="1">
      <alignment horizontal="center"/>
    </xf>
    <xf numFmtId="0" fontId="3" fillId="2" borderId="0" xfId="0" applyFont="1" applyFill="1" applyAlignment="1">
      <alignment horizontal="center" wrapText="1"/>
    </xf>
    <xf numFmtId="22" fontId="0" fillId="6" borderId="0" xfId="0" applyNumberFormat="1" applyFill="1"/>
    <xf numFmtId="0" fontId="0" fillId="10" borderId="0" xfId="0" applyFill="1"/>
  </cellXfs>
  <cellStyles count="1">
    <cellStyle name="Normal" xfId="0" builtinId="0"/>
  </cellStyles>
  <dxfs count="10">
    <dxf>
      <font>
        <color rgb="FF9C0006"/>
      </font>
    </dxf>
    <dxf>
      <font>
        <color rgb="FF002060"/>
      </font>
    </dxf>
    <dxf>
      <font>
        <color rgb="FF0070C0"/>
      </font>
    </dxf>
    <dxf>
      <font>
        <color rgb="FF7030A0"/>
      </font>
    </dxf>
    <dxf>
      <font>
        <color theme="9" tint="-0.24994659260841701"/>
      </font>
    </dxf>
    <dxf>
      <font>
        <color rgb="FF9C0006"/>
      </font>
    </dxf>
    <dxf>
      <font>
        <color rgb="FF002060"/>
      </font>
    </dxf>
    <dxf>
      <font>
        <color rgb="FF0070C0"/>
      </font>
    </dxf>
    <dxf>
      <font>
        <color rgb="FF7030A0"/>
      </font>
    </dxf>
    <dxf>
      <font>
        <color theme="9" tint="-0.24994659260841701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S207"/>
  <sheetViews>
    <sheetView tabSelected="1" zoomScale="150" zoomScaleNormal="130" workbookViewId="0">
      <pane xSplit="1" ySplit="3" topLeftCell="F4" activePane="bottomRight" state="frozen"/>
      <selection pane="topRight" activeCell="B1" sqref="B1"/>
      <selection pane="bottomLeft" activeCell="A3" sqref="A3"/>
      <selection pane="bottomRight" activeCell="P33" sqref="P33"/>
    </sheetView>
  </sheetViews>
  <sheetFormatPr baseColWidth="10" defaultColWidth="8.83203125" defaultRowHeight="15" x14ac:dyDescent="0.2"/>
  <cols>
    <col min="1" max="1" width="8.83203125" style="39"/>
    <col min="6" max="6" width="21" customWidth="1"/>
    <col min="8" max="8" width="25.33203125" customWidth="1"/>
    <col min="14" max="14" width="17.5" bestFit="1" customWidth="1"/>
    <col min="15" max="16" width="17.5" customWidth="1"/>
    <col min="18" max="18" width="24.83203125" bestFit="1" customWidth="1"/>
    <col min="24" max="26" width="17.83203125" customWidth="1"/>
    <col min="32" max="32" width="17.1640625" customWidth="1"/>
    <col min="33" max="34" width="17.1640625" style="55" customWidth="1"/>
    <col min="37" max="37" width="9" customWidth="1"/>
    <col min="40" max="40" width="14.1640625" bestFit="1" customWidth="1"/>
    <col min="41" max="41" width="12.83203125" customWidth="1"/>
    <col min="45" max="45" width="11.6640625" bestFit="1" customWidth="1"/>
  </cols>
  <sheetData>
    <row r="1" spans="1:45" x14ac:dyDescent="0.2">
      <c r="B1" s="70" t="s">
        <v>8</v>
      </c>
      <c r="C1" s="70"/>
      <c r="D1" s="70"/>
      <c r="E1" s="70"/>
      <c r="F1" s="70"/>
      <c r="H1" s="50" t="s">
        <v>41</v>
      </c>
      <c r="I1" s="39"/>
      <c r="J1" s="73" t="s">
        <v>39</v>
      </c>
      <c r="K1" s="73"/>
      <c r="L1" s="73"/>
      <c r="M1" s="73"/>
      <c r="N1" s="73"/>
      <c r="O1" s="67"/>
      <c r="P1" s="67"/>
      <c r="R1" s="50" t="s">
        <v>42</v>
      </c>
      <c r="T1" s="70" t="s">
        <v>9</v>
      </c>
      <c r="U1" s="70"/>
      <c r="V1" s="70"/>
      <c r="W1" s="70"/>
      <c r="X1" s="70"/>
      <c r="Y1" s="50"/>
      <c r="Z1" s="50"/>
      <c r="AB1" s="70" t="s">
        <v>10</v>
      </c>
      <c r="AC1" s="70"/>
      <c r="AD1" s="70"/>
      <c r="AE1" s="70"/>
      <c r="AF1" s="70"/>
      <c r="AG1" s="58"/>
      <c r="AH1" s="58"/>
      <c r="AJ1" s="70" t="s">
        <v>18</v>
      </c>
      <c r="AK1" s="70"/>
      <c r="AL1" s="70"/>
      <c r="AM1" s="70"/>
      <c r="AN1" s="70"/>
      <c r="AO1" s="1"/>
      <c r="AP1" s="70" t="s">
        <v>14</v>
      </c>
      <c r="AQ1" s="70"/>
      <c r="AR1" s="70"/>
      <c r="AS1" s="70"/>
    </row>
    <row r="2" spans="1:45" ht="63" customHeight="1" x14ac:dyDescent="0.2">
      <c r="B2" s="71" t="s">
        <v>33</v>
      </c>
      <c r="C2" s="71"/>
      <c r="D2" s="71"/>
      <c r="E2" s="71"/>
      <c r="F2" s="71"/>
      <c r="H2" s="49" t="s">
        <v>34</v>
      </c>
      <c r="J2" s="72" t="s">
        <v>40</v>
      </c>
      <c r="K2" s="72"/>
      <c r="L2" s="72"/>
      <c r="M2" s="72"/>
      <c r="N2" s="72"/>
      <c r="O2" s="66"/>
      <c r="P2" s="66"/>
      <c r="R2" s="49" t="s">
        <v>34</v>
      </c>
      <c r="T2" s="71" t="s">
        <v>134</v>
      </c>
      <c r="U2" s="71"/>
      <c r="V2" s="71"/>
      <c r="W2" s="71"/>
      <c r="X2" s="71"/>
      <c r="Y2" s="51"/>
      <c r="Z2" s="51"/>
      <c r="AB2" s="71" t="s">
        <v>134</v>
      </c>
      <c r="AC2" s="71"/>
      <c r="AD2" s="71"/>
      <c r="AE2" s="71"/>
      <c r="AF2" s="71"/>
      <c r="AG2" s="59"/>
      <c r="AH2" s="59"/>
      <c r="AJ2" s="71" t="s">
        <v>15</v>
      </c>
      <c r="AK2" s="71"/>
      <c r="AL2" s="71"/>
      <c r="AM2" s="71"/>
      <c r="AN2" s="71"/>
      <c r="AO2" s="5"/>
      <c r="AP2" s="71" t="s">
        <v>28</v>
      </c>
      <c r="AQ2" s="71"/>
      <c r="AR2" s="71"/>
      <c r="AS2" s="71"/>
    </row>
    <row r="3" spans="1:45" s="1" customFormat="1" x14ac:dyDescent="0.2">
      <c r="A3" s="1" t="s">
        <v>13</v>
      </c>
      <c r="B3" s="1" t="s">
        <v>0</v>
      </c>
      <c r="C3" s="1" t="s">
        <v>1</v>
      </c>
      <c r="D3" s="1" t="s">
        <v>20</v>
      </c>
      <c r="E3" s="1" t="s">
        <v>12</v>
      </c>
      <c r="F3" s="1" t="s">
        <v>19</v>
      </c>
      <c r="H3" s="1" t="s">
        <v>19</v>
      </c>
      <c r="J3" s="1" t="s">
        <v>0</v>
      </c>
      <c r="K3" s="1" t="s">
        <v>1</v>
      </c>
      <c r="L3" s="1" t="s">
        <v>12</v>
      </c>
      <c r="M3" s="1" t="s">
        <v>36</v>
      </c>
      <c r="N3" s="1" t="s">
        <v>19</v>
      </c>
      <c r="O3" s="1" t="s">
        <v>135</v>
      </c>
      <c r="P3" s="1" t="s">
        <v>136</v>
      </c>
      <c r="T3" s="1" t="s">
        <v>0</v>
      </c>
      <c r="U3" s="1" t="s">
        <v>1</v>
      </c>
      <c r="V3" s="1" t="s">
        <v>16</v>
      </c>
      <c r="W3" s="1" t="s">
        <v>11</v>
      </c>
      <c r="X3" s="1" t="s">
        <v>19</v>
      </c>
      <c r="Y3" s="1" t="s">
        <v>135</v>
      </c>
      <c r="Z3" s="1" t="s">
        <v>136</v>
      </c>
      <c r="AB3" s="1" t="s">
        <v>0</v>
      </c>
      <c r="AC3" s="1" t="s">
        <v>1</v>
      </c>
      <c r="AD3" s="1" t="s">
        <v>16</v>
      </c>
      <c r="AE3" s="1" t="s">
        <v>11</v>
      </c>
      <c r="AF3" s="1" t="s">
        <v>19</v>
      </c>
      <c r="AG3" s="60" t="s">
        <v>135</v>
      </c>
      <c r="AH3" s="60" t="s">
        <v>136</v>
      </c>
      <c r="AJ3" s="1" t="s">
        <v>0</v>
      </c>
      <c r="AK3" s="1" t="s">
        <v>1</v>
      </c>
      <c r="AL3" s="1" t="s">
        <v>16</v>
      </c>
      <c r="AM3" s="1" t="s">
        <v>22</v>
      </c>
      <c r="AN3" s="1" t="s">
        <v>19</v>
      </c>
      <c r="AP3" s="1" t="s">
        <v>0</v>
      </c>
      <c r="AQ3" s="1" t="s">
        <v>1</v>
      </c>
      <c r="AR3" s="1" t="s">
        <v>16</v>
      </c>
      <c r="AS3" s="1" t="s">
        <v>19</v>
      </c>
    </row>
    <row r="4" spans="1:45" x14ac:dyDescent="0.2">
      <c r="A4" s="39">
        <v>1</v>
      </c>
      <c r="B4" s="6" t="s">
        <v>2</v>
      </c>
      <c r="C4" s="7" t="s">
        <v>3</v>
      </c>
      <c r="D4" s="7" t="s">
        <v>4</v>
      </c>
      <c r="E4" s="7">
        <v>0</v>
      </c>
      <c r="F4" s="2" t="str">
        <f>_xlfn.CONCAT("LS","-",B4,"-",C4,"-",D4,"-",E4,"hr")</f>
        <v>LS-JCR-ROS-WET-0hr</v>
      </c>
      <c r="H4" s="2" t="s">
        <v>35</v>
      </c>
      <c r="J4" s="40" t="s">
        <v>2</v>
      </c>
      <c r="K4" s="41" t="s">
        <v>3</v>
      </c>
      <c r="L4" s="41" t="s">
        <v>37</v>
      </c>
      <c r="M4" s="41">
        <v>1</v>
      </c>
      <c r="N4" s="42" t="str">
        <f t="shared" ref="N4:N6" si="0">_xlfn.CONCAT("CUE-",J4,"-",K4,"-",L4,"-",M4)</f>
        <v>CUE-JCR-ROS-0hr-1</v>
      </c>
      <c r="O4" s="75">
        <v>45782.5</v>
      </c>
      <c r="P4" s="75">
        <v>45782.5</v>
      </c>
      <c r="R4" s="45" t="s">
        <v>89</v>
      </c>
      <c r="T4" s="6" t="s">
        <v>2</v>
      </c>
      <c r="U4" s="7" t="s">
        <v>3</v>
      </c>
      <c r="V4" s="7" t="s">
        <v>17</v>
      </c>
      <c r="W4" s="7">
        <v>1</v>
      </c>
      <c r="X4" s="8" t="str">
        <f>_xlfn.CONCAT(T4, "-",U4,"-",V4,"-",W4)</f>
        <v>JCR-ROS-PRE-1</v>
      </c>
      <c r="Y4" s="56">
        <v>45777.496527777781</v>
      </c>
      <c r="Z4" s="56">
        <v>45777.496527777781</v>
      </c>
      <c r="AB4" s="6" t="s">
        <v>2</v>
      </c>
      <c r="AC4" s="7" t="s">
        <v>3</v>
      </c>
      <c r="AD4" s="7" t="s">
        <v>17</v>
      </c>
      <c r="AE4" s="7">
        <v>1</v>
      </c>
      <c r="AF4" s="8" t="str">
        <f t="shared" ref="AF4:AF39" si="1">_xlfn.CONCAT(AB4,"-",AC4,"-",AD4,"-",AE4)</f>
        <v>JCR-ROS-PRE-1</v>
      </c>
      <c r="AG4" s="61">
        <v>45777.496527777781</v>
      </c>
      <c r="AH4" s="61">
        <v>45777.496527777781</v>
      </c>
      <c r="AJ4" s="6" t="s">
        <v>2</v>
      </c>
      <c r="AK4" s="7" t="s">
        <v>3</v>
      </c>
      <c r="AL4" s="7" t="s">
        <v>23</v>
      </c>
      <c r="AM4" s="7">
        <v>1</v>
      </c>
      <c r="AN4" s="8" t="str">
        <f t="shared" ref="AN4:AN22" si="2">_xlfn.CONCAT(AJ4,"-",AK4,"-",AL4,"-",AM4)</f>
        <v>JCR-ROS-pre-1</v>
      </c>
      <c r="AP4" s="40" t="s">
        <v>2</v>
      </c>
      <c r="AQ4" s="41" t="s">
        <v>3</v>
      </c>
      <c r="AR4" s="41" t="s">
        <v>23</v>
      </c>
      <c r="AS4" s="42" t="str">
        <f t="shared" ref="AS4:AS12" si="3">_xlfn.CONCAT(AP4,"-",AQ4,"-",AR4)</f>
        <v>JCR-ROS-pre</v>
      </c>
    </row>
    <row r="5" spans="1:45" x14ac:dyDescent="0.2">
      <c r="A5" s="39">
        <v>2</v>
      </c>
      <c r="B5" s="9" t="s">
        <v>2</v>
      </c>
      <c r="C5" s="2" t="s">
        <v>3</v>
      </c>
      <c r="D5" s="2" t="s">
        <v>4</v>
      </c>
      <c r="E5" s="2">
        <v>1</v>
      </c>
      <c r="F5" s="10" t="str">
        <f>_xlfn.CONCAT("LS","-",B5,"-",C5,"-",D5,"-",E5,"hr")</f>
        <v>LS-JCR-ROS-WET-1hr</v>
      </c>
      <c r="H5" s="2" t="str">
        <f t="shared" ref="H5:H55" si="4">_xlfn.CONCAT(F5, "-d2H")</f>
        <v>LS-JCR-ROS-WET-1hr-d2H</v>
      </c>
      <c r="J5" s="43" t="s">
        <v>2</v>
      </c>
      <c r="K5" s="44" t="s">
        <v>3</v>
      </c>
      <c r="L5" s="44" t="s">
        <v>37</v>
      </c>
      <c r="M5" s="44">
        <v>2</v>
      </c>
      <c r="N5" s="45" t="str">
        <f t="shared" si="0"/>
        <v>CUE-JCR-ROS-0hr-2</v>
      </c>
      <c r="O5" s="75">
        <v>45782.5</v>
      </c>
      <c r="P5" s="75">
        <v>45782.5</v>
      </c>
      <c r="R5" s="45" t="s">
        <v>90</v>
      </c>
      <c r="T5" s="9" t="s">
        <v>2</v>
      </c>
      <c r="U5" s="2" t="s">
        <v>3</v>
      </c>
      <c r="V5" s="2" t="s">
        <v>17</v>
      </c>
      <c r="W5" s="2">
        <v>2</v>
      </c>
      <c r="X5" s="10" t="str">
        <f t="shared" ref="X5:X27" si="5">_xlfn.CONCAT(T5, "-",U5,"-",V5,"-",W5)</f>
        <v>JCR-ROS-PRE-2</v>
      </c>
      <c r="Y5" s="56">
        <v>45777.496527777781</v>
      </c>
      <c r="Z5" s="56">
        <v>45777.496527777781</v>
      </c>
      <c r="AB5" s="9" t="s">
        <v>2</v>
      </c>
      <c r="AC5" s="2" t="s">
        <v>3</v>
      </c>
      <c r="AD5" s="2" t="s">
        <v>17</v>
      </c>
      <c r="AE5" s="2">
        <v>2</v>
      </c>
      <c r="AF5" s="10" t="str">
        <f t="shared" si="1"/>
        <v>JCR-ROS-PRE-2</v>
      </c>
      <c r="AG5" s="61">
        <v>45777.496527777781</v>
      </c>
      <c r="AH5" s="61">
        <v>45777.496527777781</v>
      </c>
      <c r="AJ5" s="9" t="s">
        <v>2</v>
      </c>
      <c r="AK5" s="2" t="s">
        <v>3</v>
      </c>
      <c r="AL5" s="2" t="s">
        <v>23</v>
      </c>
      <c r="AM5" s="2">
        <v>2</v>
      </c>
      <c r="AN5" s="10" t="str">
        <f t="shared" si="2"/>
        <v>JCR-ROS-pre-2</v>
      </c>
      <c r="AP5" s="43" t="s">
        <v>2</v>
      </c>
      <c r="AQ5" s="44" t="s">
        <v>5</v>
      </c>
      <c r="AR5" s="44" t="s">
        <v>23</v>
      </c>
      <c r="AS5" s="45" t="str">
        <f t="shared" si="3"/>
        <v>JCR-SKY-pre</v>
      </c>
    </row>
    <row r="6" spans="1:45" x14ac:dyDescent="0.2">
      <c r="A6" s="39">
        <v>3</v>
      </c>
      <c r="B6" s="9" t="s">
        <v>2</v>
      </c>
      <c r="C6" s="2" t="s">
        <v>3</v>
      </c>
      <c r="D6" s="2" t="s">
        <v>4</v>
      </c>
      <c r="E6" s="2">
        <v>3</v>
      </c>
      <c r="F6" s="10" t="str">
        <f t="shared" ref="F6:F11" si="6">_xlfn.CONCAT("LS","-",B6,"-",C6,"-",D6,"-",E6,"hr")</f>
        <v>LS-JCR-ROS-WET-3hr</v>
      </c>
      <c r="H6" s="2" t="str">
        <f t="shared" si="4"/>
        <v>LS-JCR-ROS-WET-3hr-d2H</v>
      </c>
      <c r="J6" s="43" t="s">
        <v>2</v>
      </c>
      <c r="K6" s="44" t="s">
        <v>3</v>
      </c>
      <c r="L6" s="44" t="s">
        <v>37</v>
      </c>
      <c r="M6" s="44">
        <v>3</v>
      </c>
      <c r="N6" s="45" t="str">
        <f t="shared" si="0"/>
        <v>CUE-JCR-ROS-0hr-3</v>
      </c>
      <c r="O6" s="75">
        <v>45782.5</v>
      </c>
      <c r="P6" s="75">
        <v>45782.5</v>
      </c>
      <c r="R6" s="45" t="s">
        <v>91</v>
      </c>
      <c r="T6" s="11" t="s">
        <v>2</v>
      </c>
      <c r="U6" s="12" t="s">
        <v>3</v>
      </c>
      <c r="V6" s="12" t="s">
        <v>17</v>
      </c>
      <c r="W6" s="12">
        <v>3</v>
      </c>
      <c r="X6" s="13" t="str">
        <f t="shared" si="5"/>
        <v>JCR-ROS-PRE-3</v>
      </c>
      <c r="Y6" s="56">
        <v>45777.496527777781</v>
      </c>
      <c r="Z6" s="56">
        <v>45777.496527777781</v>
      </c>
      <c r="AB6" s="11" t="s">
        <v>2</v>
      </c>
      <c r="AC6" s="12" t="s">
        <v>3</v>
      </c>
      <c r="AD6" s="12" t="s">
        <v>17</v>
      </c>
      <c r="AE6" s="12">
        <v>3</v>
      </c>
      <c r="AF6" s="13" t="str">
        <f t="shared" si="1"/>
        <v>JCR-ROS-PRE-3</v>
      </c>
      <c r="AG6" s="61">
        <v>45777.496527777781</v>
      </c>
      <c r="AH6" s="61">
        <v>45777.496527777781</v>
      </c>
      <c r="AJ6" s="9" t="s">
        <v>2</v>
      </c>
      <c r="AK6" s="2" t="s">
        <v>3</v>
      </c>
      <c r="AL6" s="2" t="s">
        <v>23</v>
      </c>
      <c r="AM6" s="2">
        <v>3</v>
      </c>
      <c r="AN6" s="10" t="str">
        <f t="shared" si="2"/>
        <v>JCR-ROS-pre-3</v>
      </c>
      <c r="AP6" s="43" t="s">
        <v>2</v>
      </c>
      <c r="AQ6" s="44" t="s">
        <v>3</v>
      </c>
      <c r="AR6" s="44" t="s">
        <v>24</v>
      </c>
      <c r="AS6" s="45" t="str">
        <f t="shared" si="3"/>
        <v>JCR-ROS-1h</v>
      </c>
    </row>
    <row r="7" spans="1:45" x14ac:dyDescent="0.2">
      <c r="A7" s="39">
        <v>4</v>
      </c>
      <c r="B7" s="9" t="s">
        <v>2</v>
      </c>
      <c r="C7" s="2" t="s">
        <v>3</v>
      </c>
      <c r="D7" s="2" t="s">
        <v>4</v>
      </c>
      <c r="E7" s="2">
        <v>6</v>
      </c>
      <c r="F7" s="10" t="str">
        <f t="shared" si="6"/>
        <v>LS-JCR-ROS-WET-6hr</v>
      </c>
      <c r="H7" s="2" t="str">
        <f t="shared" si="4"/>
        <v>LS-JCR-ROS-WET-6hr-d2H</v>
      </c>
      <c r="J7" s="43" t="s">
        <v>2</v>
      </c>
      <c r="K7" s="44" t="s">
        <v>3</v>
      </c>
      <c r="L7" s="44" t="s">
        <v>32</v>
      </c>
      <c r="M7" s="44">
        <v>1</v>
      </c>
      <c r="N7" s="45" t="str">
        <f t="shared" ref="N7:N9" si="7">_xlfn.CONCAT("CUE-",J7,"-",K7,"-",L7,"-",M7)</f>
        <v>CUE-JCR-ROS-24hr-1</v>
      </c>
      <c r="O7" s="75">
        <v>45782.5</v>
      </c>
      <c r="P7" s="75">
        <v>45783.5</v>
      </c>
      <c r="R7" s="45" t="s">
        <v>92</v>
      </c>
      <c r="T7" s="6" t="s">
        <v>2</v>
      </c>
      <c r="U7" s="7" t="s">
        <v>5</v>
      </c>
      <c r="V7" s="7" t="s">
        <v>17</v>
      </c>
      <c r="W7" s="7">
        <v>1</v>
      </c>
      <c r="X7" s="8" t="str">
        <f t="shared" si="5"/>
        <v>JCR-SKY-PRE-1</v>
      </c>
      <c r="Y7" s="56">
        <v>45777.496527777781</v>
      </c>
      <c r="Z7" s="56">
        <v>45777.496527777781</v>
      </c>
      <c r="AB7" s="6" t="s">
        <v>2</v>
      </c>
      <c r="AC7" s="7" t="s">
        <v>5</v>
      </c>
      <c r="AD7" s="7" t="s">
        <v>17</v>
      </c>
      <c r="AE7" s="7">
        <v>1</v>
      </c>
      <c r="AF7" s="8" t="str">
        <f t="shared" si="1"/>
        <v>JCR-SKY-PRE-1</v>
      </c>
      <c r="AG7" s="61">
        <v>45777.496527777781</v>
      </c>
      <c r="AH7" s="61">
        <v>45777.496527777781</v>
      </c>
      <c r="AJ7" s="9" t="s">
        <v>2</v>
      </c>
      <c r="AK7" s="2" t="s">
        <v>3</v>
      </c>
      <c r="AL7" s="2" t="s">
        <v>23</v>
      </c>
      <c r="AM7" s="2">
        <v>8</v>
      </c>
      <c r="AN7" s="10" t="str">
        <f t="shared" si="2"/>
        <v>JCR-ROS-pre-8</v>
      </c>
      <c r="AP7" s="43" t="s">
        <v>2</v>
      </c>
      <c r="AQ7" s="44" t="s">
        <v>5</v>
      </c>
      <c r="AR7" s="44" t="s">
        <v>24</v>
      </c>
      <c r="AS7" s="45" t="str">
        <f t="shared" si="3"/>
        <v>JCR-SKY-1h</v>
      </c>
    </row>
    <row r="8" spans="1:45" x14ac:dyDescent="0.2">
      <c r="A8" s="39">
        <v>5</v>
      </c>
      <c r="B8" s="9" t="s">
        <v>2</v>
      </c>
      <c r="C8" s="2" t="s">
        <v>3</v>
      </c>
      <c r="D8" s="2" t="s">
        <v>4</v>
      </c>
      <c r="E8" s="2">
        <v>24</v>
      </c>
      <c r="F8" s="10" t="str">
        <f t="shared" si="6"/>
        <v>LS-JCR-ROS-WET-24hr</v>
      </c>
      <c r="H8" s="2" t="str">
        <f t="shared" si="4"/>
        <v>LS-JCR-ROS-WET-24hr-d2H</v>
      </c>
      <c r="J8" s="43" t="s">
        <v>2</v>
      </c>
      <c r="K8" s="44" t="s">
        <v>3</v>
      </c>
      <c r="L8" s="44" t="s">
        <v>32</v>
      </c>
      <c r="M8" s="44">
        <v>2</v>
      </c>
      <c r="N8" s="45" t="str">
        <f t="shared" si="7"/>
        <v>CUE-JCR-ROS-24hr-2</v>
      </c>
      <c r="O8" s="75">
        <v>45782.5</v>
      </c>
      <c r="P8" s="75">
        <v>45783.5</v>
      </c>
      <c r="R8" s="45" t="s">
        <v>93</v>
      </c>
      <c r="T8" s="9" t="s">
        <v>2</v>
      </c>
      <c r="U8" s="2" t="s">
        <v>5</v>
      </c>
      <c r="V8" s="2" t="s">
        <v>17</v>
      </c>
      <c r="W8" s="2">
        <v>2</v>
      </c>
      <c r="X8" s="10" t="str">
        <f t="shared" si="5"/>
        <v>JCR-SKY-PRE-2</v>
      </c>
      <c r="Y8" s="56">
        <v>45777.496527777781</v>
      </c>
      <c r="Z8" s="56">
        <v>45777.496527777781</v>
      </c>
      <c r="AB8" s="9" t="s">
        <v>2</v>
      </c>
      <c r="AC8" s="2" t="s">
        <v>5</v>
      </c>
      <c r="AD8" s="2" t="s">
        <v>17</v>
      </c>
      <c r="AE8" s="2">
        <v>2</v>
      </c>
      <c r="AF8" s="10" t="str">
        <f t="shared" si="1"/>
        <v>JCR-SKY-PRE-2</v>
      </c>
      <c r="AG8" s="61">
        <v>45777.496527777781</v>
      </c>
      <c r="AH8" s="61">
        <v>45777.496527777781</v>
      </c>
      <c r="AJ8" s="9" t="s">
        <v>2</v>
      </c>
      <c r="AK8" s="2" t="s">
        <v>3</v>
      </c>
      <c r="AL8" s="2" t="s">
        <v>23</v>
      </c>
      <c r="AM8" s="2">
        <v>12</v>
      </c>
      <c r="AN8" s="10" t="str">
        <f t="shared" si="2"/>
        <v>JCR-ROS-pre-12</v>
      </c>
      <c r="AP8" s="43" t="s">
        <v>2</v>
      </c>
      <c r="AQ8" s="44" t="s">
        <v>3</v>
      </c>
      <c r="AR8" s="44" t="s">
        <v>25</v>
      </c>
      <c r="AS8" s="45" t="str">
        <f t="shared" si="3"/>
        <v>JCR-ROS-6h</v>
      </c>
    </row>
    <row r="9" spans="1:45" x14ac:dyDescent="0.2">
      <c r="A9" s="39">
        <v>6</v>
      </c>
      <c r="B9" s="9" t="s">
        <v>2</v>
      </c>
      <c r="C9" s="2" t="s">
        <v>3</v>
      </c>
      <c r="D9" s="2" t="s">
        <v>4</v>
      </c>
      <c r="E9" s="2">
        <v>48</v>
      </c>
      <c r="F9" s="10" t="str">
        <f t="shared" si="6"/>
        <v>LS-JCR-ROS-WET-48hr</v>
      </c>
      <c r="H9" s="2" t="str">
        <f t="shared" si="4"/>
        <v>LS-JCR-ROS-WET-48hr-d2H</v>
      </c>
      <c r="J9" s="43" t="s">
        <v>2</v>
      </c>
      <c r="K9" s="44" t="s">
        <v>3</v>
      </c>
      <c r="L9" s="44" t="s">
        <v>32</v>
      </c>
      <c r="M9" s="44">
        <v>3</v>
      </c>
      <c r="N9" s="45" t="str">
        <f t="shared" si="7"/>
        <v>CUE-JCR-ROS-24hr-3</v>
      </c>
      <c r="O9" s="75">
        <v>45782.5</v>
      </c>
      <c r="P9" s="75">
        <v>45783.5</v>
      </c>
      <c r="R9" s="48" t="s">
        <v>94</v>
      </c>
      <c r="T9" s="11" t="s">
        <v>2</v>
      </c>
      <c r="U9" s="12" t="s">
        <v>5</v>
      </c>
      <c r="V9" s="12" t="s">
        <v>17</v>
      </c>
      <c r="W9" s="12">
        <v>3</v>
      </c>
      <c r="X9" s="13" t="str">
        <f t="shared" si="5"/>
        <v>JCR-SKY-PRE-3</v>
      </c>
      <c r="Y9" s="56">
        <v>45777.496527777781</v>
      </c>
      <c r="Z9" s="56">
        <v>45777.496527777781</v>
      </c>
      <c r="AB9" s="11" t="s">
        <v>2</v>
      </c>
      <c r="AC9" s="12" t="s">
        <v>5</v>
      </c>
      <c r="AD9" s="12" t="s">
        <v>17</v>
      </c>
      <c r="AE9" s="12">
        <v>3</v>
      </c>
      <c r="AF9" s="13" t="str">
        <f t="shared" si="1"/>
        <v>JCR-SKY-PRE-3</v>
      </c>
      <c r="AG9" s="61">
        <v>45777.496527777781</v>
      </c>
      <c r="AH9" s="61">
        <v>45777.496527777781</v>
      </c>
      <c r="AJ9" s="11" t="s">
        <v>2</v>
      </c>
      <c r="AK9" s="12" t="s">
        <v>3</v>
      </c>
      <c r="AL9" s="12" t="s">
        <v>23</v>
      </c>
      <c r="AM9" s="12">
        <v>15</v>
      </c>
      <c r="AN9" s="13" t="str">
        <f t="shared" si="2"/>
        <v>JCR-ROS-pre-15</v>
      </c>
      <c r="AP9" s="43" t="s">
        <v>2</v>
      </c>
      <c r="AQ9" s="44" t="s">
        <v>5</v>
      </c>
      <c r="AR9" s="44" t="s">
        <v>25</v>
      </c>
      <c r="AS9" s="45" t="str">
        <f t="shared" si="3"/>
        <v>JCR-SKY-6h</v>
      </c>
    </row>
    <row r="10" spans="1:45" x14ac:dyDescent="0.2">
      <c r="A10" s="39">
        <v>7</v>
      </c>
      <c r="B10" s="11" t="s">
        <v>2</v>
      </c>
      <c r="C10" s="12" t="s">
        <v>3</v>
      </c>
      <c r="D10" s="12" t="s">
        <v>4</v>
      </c>
      <c r="E10" s="12">
        <v>72</v>
      </c>
      <c r="F10" s="13" t="str">
        <f t="shared" si="6"/>
        <v>LS-JCR-ROS-WET-72hr</v>
      </c>
      <c r="H10" s="2" t="str">
        <f t="shared" si="4"/>
        <v>LS-JCR-ROS-WET-72hr-d2H</v>
      </c>
      <c r="J10" s="43" t="s">
        <v>2</v>
      </c>
      <c r="K10" s="44" t="s">
        <v>3</v>
      </c>
      <c r="L10" s="44" t="s">
        <v>38</v>
      </c>
      <c r="M10" s="44">
        <v>1</v>
      </c>
      <c r="N10" s="45" t="str">
        <f t="shared" ref="N10:N21" si="8">_xlfn.CONCAT("CUE-",J10,"-",K10,"-",L10,"-",M10)</f>
        <v>CUE-JCR-ROS-72hr-1</v>
      </c>
      <c r="O10" s="75">
        <v>45782.5</v>
      </c>
      <c r="P10" s="76"/>
      <c r="R10" s="45" t="s">
        <v>98</v>
      </c>
      <c r="T10" s="6" t="s">
        <v>2</v>
      </c>
      <c r="U10" s="7" t="s">
        <v>3</v>
      </c>
      <c r="V10" s="7" t="s">
        <v>38</v>
      </c>
      <c r="W10" s="7">
        <v>1</v>
      </c>
      <c r="X10" s="8" t="str">
        <f t="shared" si="5"/>
        <v>JCR-ROS-72hr-1</v>
      </c>
      <c r="Y10" s="56">
        <v>45777.496527777781</v>
      </c>
      <c r="Z10" s="61">
        <v>45780.513194444444</v>
      </c>
      <c r="AB10" s="6" t="s">
        <v>2</v>
      </c>
      <c r="AC10" s="7" t="s">
        <v>3</v>
      </c>
      <c r="AD10" s="7" t="s">
        <v>32</v>
      </c>
      <c r="AE10" s="7">
        <v>1</v>
      </c>
      <c r="AF10" s="8" t="str">
        <f t="shared" si="1"/>
        <v>JCR-ROS-24hr-1</v>
      </c>
      <c r="AG10" s="64">
        <v>45778.527777777781</v>
      </c>
      <c r="AH10" s="64">
        <v>45779.527083333334</v>
      </c>
      <c r="AJ10" s="6" t="s">
        <v>2</v>
      </c>
      <c r="AK10" s="7" t="s">
        <v>5</v>
      </c>
      <c r="AL10" s="7" t="s">
        <v>23</v>
      </c>
      <c r="AM10" s="7">
        <v>1</v>
      </c>
      <c r="AN10" s="8" t="str">
        <f t="shared" si="2"/>
        <v>JCR-SKY-pre-1</v>
      </c>
      <c r="AP10" s="43" t="s">
        <v>2</v>
      </c>
      <c r="AQ10" s="44" t="s">
        <v>3</v>
      </c>
      <c r="AR10" s="44" t="s">
        <v>26</v>
      </c>
      <c r="AS10" s="45" t="str">
        <f t="shared" si="3"/>
        <v>JCR-ROS-24h</v>
      </c>
    </row>
    <row r="11" spans="1:45" x14ac:dyDescent="0.2">
      <c r="A11" s="39">
        <v>8</v>
      </c>
      <c r="B11" s="9" t="s">
        <v>2</v>
      </c>
      <c r="C11" s="2" t="s">
        <v>3</v>
      </c>
      <c r="D11" s="2" t="s">
        <v>21</v>
      </c>
      <c r="E11" s="2">
        <v>1</v>
      </c>
      <c r="F11" s="10" t="str">
        <f t="shared" si="6"/>
        <v>LS-JCR-ROS-VAPOR-1hr</v>
      </c>
      <c r="H11" s="2" t="str">
        <f t="shared" si="4"/>
        <v>LS-JCR-ROS-VAPOR-1hr-d2H</v>
      </c>
      <c r="J11" s="43" t="s">
        <v>2</v>
      </c>
      <c r="K11" s="44" t="s">
        <v>3</v>
      </c>
      <c r="L11" s="44" t="s">
        <v>38</v>
      </c>
      <c r="M11" s="44">
        <v>2</v>
      </c>
      <c r="N11" s="45" t="str">
        <f t="shared" si="8"/>
        <v>CUE-JCR-ROS-72hr-2</v>
      </c>
      <c r="O11" s="75">
        <v>45782.5</v>
      </c>
      <c r="P11" s="76"/>
      <c r="R11" s="45" t="s">
        <v>99</v>
      </c>
      <c r="T11" s="9" t="s">
        <v>2</v>
      </c>
      <c r="U11" s="2" t="s">
        <v>3</v>
      </c>
      <c r="V11" s="2" t="s">
        <v>38</v>
      </c>
      <c r="W11" s="2">
        <v>2</v>
      </c>
      <c r="X11" s="10" t="str">
        <f t="shared" si="5"/>
        <v>JCR-ROS-72hr-2</v>
      </c>
      <c r="Y11" s="56">
        <v>45777.496527777781</v>
      </c>
      <c r="Z11" s="61">
        <v>45780.513194444444</v>
      </c>
      <c r="AB11" s="9" t="s">
        <v>2</v>
      </c>
      <c r="AC11" s="2" t="s">
        <v>3</v>
      </c>
      <c r="AD11" s="2" t="s">
        <v>32</v>
      </c>
      <c r="AE11" s="2">
        <v>2</v>
      </c>
      <c r="AF11" s="10" t="str">
        <f t="shared" si="1"/>
        <v>JCR-ROS-24hr-2</v>
      </c>
      <c r="AG11" s="64">
        <v>45778.527777777781</v>
      </c>
      <c r="AH11" s="64">
        <v>45779.527083333334</v>
      </c>
      <c r="AJ11" s="9" t="s">
        <v>2</v>
      </c>
      <c r="AK11" s="2" t="s">
        <v>5</v>
      </c>
      <c r="AL11" s="2" t="s">
        <v>23</v>
      </c>
      <c r="AM11" s="2">
        <v>2</v>
      </c>
      <c r="AN11" s="10" t="str">
        <f t="shared" si="2"/>
        <v>JCR-SKY-pre-2</v>
      </c>
      <c r="AP11" s="46" t="s">
        <v>2</v>
      </c>
      <c r="AQ11" s="47" t="s">
        <v>3</v>
      </c>
      <c r="AR11" s="47" t="s">
        <v>27</v>
      </c>
      <c r="AS11" s="48" t="str">
        <f t="shared" si="3"/>
        <v>JCR-ROS-48h</v>
      </c>
    </row>
    <row r="12" spans="1:45" x14ac:dyDescent="0.2">
      <c r="A12" s="39">
        <v>9</v>
      </c>
      <c r="B12" s="9" t="s">
        <v>2</v>
      </c>
      <c r="C12" s="2" t="s">
        <v>3</v>
      </c>
      <c r="D12" s="2" t="s">
        <v>21</v>
      </c>
      <c r="E12" s="2">
        <v>3</v>
      </c>
      <c r="F12" s="10" t="str">
        <f t="shared" ref="F12:F29" si="9">_xlfn.CONCAT("LS","-",B12,"-",C12,"-",D12,"-",E12,"hr")</f>
        <v>LS-JCR-ROS-VAPOR-3hr</v>
      </c>
      <c r="H12" s="2" t="str">
        <f t="shared" si="4"/>
        <v>LS-JCR-ROS-VAPOR-3hr-d2H</v>
      </c>
      <c r="J12" s="46" t="s">
        <v>2</v>
      </c>
      <c r="K12" s="47" t="s">
        <v>3</v>
      </c>
      <c r="L12" s="47" t="s">
        <v>38</v>
      </c>
      <c r="M12" s="47">
        <v>3</v>
      </c>
      <c r="N12" s="48" t="str">
        <f t="shared" si="8"/>
        <v>CUE-JCR-ROS-72hr-3</v>
      </c>
      <c r="O12" s="75">
        <v>45782.5</v>
      </c>
      <c r="P12" s="76"/>
      <c r="R12" s="45" t="s">
        <v>100</v>
      </c>
      <c r="T12" s="11" t="s">
        <v>2</v>
      </c>
      <c r="U12" s="12" t="s">
        <v>3</v>
      </c>
      <c r="V12" s="12" t="s">
        <v>38</v>
      </c>
      <c r="W12" s="12">
        <v>3</v>
      </c>
      <c r="X12" s="13" t="str">
        <f t="shared" si="5"/>
        <v>JCR-ROS-72hr-3</v>
      </c>
      <c r="Y12" s="56">
        <v>45777.496527777781</v>
      </c>
      <c r="Z12" s="61">
        <v>45780.513194444444</v>
      </c>
      <c r="AB12" s="11" t="s">
        <v>2</v>
      </c>
      <c r="AC12" s="12" t="s">
        <v>3</v>
      </c>
      <c r="AD12" s="12" t="s">
        <v>32</v>
      </c>
      <c r="AE12" s="12">
        <v>3</v>
      </c>
      <c r="AF12" s="13" t="str">
        <f t="shared" si="1"/>
        <v>JCR-ROS-24hr-3</v>
      </c>
      <c r="AG12" s="64">
        <v>45778.527777777781</v>
      </c>
      <c r="AH12" s="64">
        <v>45779.527083333334</v>
      </c>
      <c r="AJ12" s="9" t="s">
        <v>2</v>
      </c>
      <c r="AK12" s="2" t="s">
        <v>5</v>
      </c>
      <c r="AL12" s="2" t="s">
        <v>23</v>
      </c>
      <c r="AM12" s="2">
        <v>3</v>
      </c>
      <c r="AN12" s="10" t="str">
        <f t="shared" si="2"/>
        <v>JCR-SKY-pre-3</v>
      </c>
      <c r="AP12" s="14" t="s">
        <v>7</v>
      </c>
      <c r="AQ12" s="15" t="s">
        <v>3</v>
      </c>
      <c r="AR12" s="15" t="s">
        <v>23</v>
      </c>
      <c r="AS12" s="16" t="str">
        <f t="shared" si="3"/>
        <v>PAL-ROS-pre</v>
      </c>
    </row>
    <row r="13" spans="1:45" x14ac:dyDescent="0.2">
      <c r="A13" s="39">
        <v>10</v>
      </c>
      <c r="B13" s="9" t="s">
        <v>2</v>
      </c>
      <c r="C13" s="2" t="s">
        <v>3</v>
      </c>
      <c r="D13" s="2" t="s">
        <v>21</v>
      </c>
      <c r="E13" s="2">
        <v>6</v>
      </c>
      <c r="F13" s="10" t="str">
        <f t="shared" si="9"/>
        <v>LS-JCR-ROS-VAPOR-6hr</v>
      </c>
      <c r="H13" s="2" t="str">
        <f t="shared" si="4"/>
        <v>LS-JCR-ROS-VAPOR-6hr-d2H</v>
      </c>
      <c r="J13" s="40" t="s">
        <v>2</v>
      </c>
      <c r="K13" s="41" t="s">
        <v>5</v>
      </c>
      <c r="L13" s="41" t="s">
        <v>37</v>
      </c>
      <c r="M13" s="41">
        <v>1</v>
      </c>
      <c r="N13" s="42" t="str">
        <f t="shared" si="8"/>
        <v>CUE-JCR-SKY-0hr-1</v>
      </c>
      <c r="O13" s="75">
        <v>45782.5</v>
      </c>
      <c r="P13" s="75">
        <v>45782.5</v>
      </c>
      <c r="R13" s="45" t="s">
        <v>101</v>
      </c>
      <c r="T13" s="6" t="s">
        <v>2</v>
      </c>
      <c r="U13" s="7" t="s">
        <v>5</v>
      </c>
      <c r="V13" s="7" t="s">
        <v>38</v>
      </c>
      <c r="W13" s="7">
        <v>1</v>
      </c>
      <c r="X13" s="8" t="str">
        <f t="shared" si="5"/>
        <v>JCR-SKY-72hr-1</v>
      </c>
      <c r="Y13" s="56">
        <v>45777.496527777781</v>
      </c>
      <c r="Z13" s="61">
        <v>45780.513194444444</v>
      </c>
      <c r="AB13" s="6" t="s">
        <v>2</v>
      </c>
      <c r="AC13" s="7" t="s">
        <v>5</v>
      </c>
      <c r="AD13" s="7" t="s">
        <v>32</v>
      </c>
      <c r="AE13" s="7">
        <v>1</v>
      </c>
      <c r="AF13" s="8" t="str">
        <f t="shared" si="1"/>
        <v>JCR-SKY-24hr-1</v>
      </c>
      <c r="AG13" s="64">
        <v>45778.527777777781</v>
      </c>
      <c r="AH13" s="64">
        <v>45779.527083333334</v>
      </c>
      <c r="AJ13" s="9" t="s">
        <v>2</v>
      </c>
      <c r="AK13" s="2" t="s">
        <v>5</v>
      </c>
      <c r="AL13" s="2" t="s">
        <v>23</v>
      </c>
      <c r="AM13" s="2">
        <v>8</v>
      </c>
      <c r="AN13" s="10" t="str">
        <f t="shared" si="2"/>
        <v>JCR-SKY-pre-8</v>
      </c>
      <c r="AP13" s="17" t="s">
        <v>7</v>
      </c>
      <c r="AQ13" s="3" t="s">
        <v>5</v>
      </c>
      <c r="AR13" s="3" t="s">
        <v>23</v>
      </c>
      <c r="AS13" s="18" t="str">
        <f t="shared" ref="AS13:AS20" si="10">_xlfn.CONCAT(AP13,"-",AQ13,"-",AR13)</f>
        <v>PAL-SKY-pre</v>
      </c>
    </row>
    <row r="14" spans="1:45" x14ac:dyDescent="0.2">
      <c r="A14" s="39">
        <v>11</v>
      </c>
      <c r="B14" s="9" t="s">
        <v>2</v>
      </c>
      <c r="C14" s="2" t="s">
        <v>3</v>
      </c>
      <c r="D14" s="2" t="s">
        <v>21</v>
      </c>
      <c r="E14" s="2">
        <v>24</v>
      </c>
      <c r="F14" s="10" t="str">
        <f t="shared" si="9"/>
        <v>LS-JCR-ROS-VAPOR-24hr</v>
      </c>
      <c r="H14" s="2" t="str">
        <f t="shared" si="4"/>
        <v>LS-JCR-ROS-VAPOR-24hr-d2H</v>
      </c>
      <c r="J14" s="43" t="s">
        <v>2</v>
      </c>
      <c r="K14" s="44" t="s">
        <v>5</v>
      </c>
      <c r="L14" s="44" t="s">
        <v>37</v>
      </c>
      <c r="M14" s="44">
        <v>2</v>
      </c>
      <c r="N14" s="45" t="str">
        <f t="shared" si="8"/>
        <v>CUE-JCR-SKY-0hr-2</v>
      </c>
      <c r="O14" s="75">
        <v>45782.5</v>
      </c>
      <c r="P14" s="75">
        <v>45782.5</v>
      </c>
      <c r="R14" s="45" t="s">
        <v>102</v>
      </c>
      <c r="T14" s="9" t="s">
        <v>2</v>
      </c>
      <c r="U14" s="2" t="s">
        <v>5</v>
      </c>
      <c r="V14" s="2" t="s">
        <v>38</v>
      </c>
      <c r="W14" s="2">
        <v>2</v>
      </c>
      <c r="X14" s="10" t="str">
        <f t="shared" si="5"/>
        <v>JCR-SKY-72hr-2</v>
      </c>
      <c r="Y14" s="56">
        <v>45777.496527777781</v>
      </c>
      <c r="Z14" s="61">
        <v>45780.513194444444</v>
      </c>
      <c r="AB14" s="9" t="s">
        <v>2</v>
      </c>
      <c r="AC14" s="2" t="s">
        <v>5</v>
      </c>
      <c r="AD14" s="2" t="s">
        <v>32</v>
      </c>
      <c r="AE14" s="2">
        <v>2</v>
      </c>
      <c r="AF14" s="10" t="str">
        <f t="shared" si="1"/>
        <v>JCR-SKY-24hr-2</v>
      </c>
      <c r="AG14" s="64">
        <v>45778.527777777781</v>
      </c>
      <c r="AH14" s="64">
        <v>45779.527083333334</v>
      </c>
      <c r="AJ14" s="9" t="s">
        <v>2</v>
      </c>
      <c r="AK14" s="2" t="s">
        <v>5</v>
      </c>
      <c r="AL14" s="2" t="s">
        <v>23</v>
      </c>
      <c r="AM14" s="2">
        <v>12</v>
      </c>
      <c r="AN14" s="10" t="str">
        <f t="shared" si="2"/>
        <v>JCR-SKY-pre-12</v>
      </c>
      <c r="AP14" s="17" t="s">
        <v>7</v>
      </c>
      <c r="AQ14" s="3" t="s">
        <v>3</v>
      </c>
      <c r="AR14" s="3" t="s">
        <v>24</v>
      </c>
      <c r="AS14" s="18" t="str">
        <f t="shared" si="10"/>
        <v>PAL-ROS-1h</v>
      </c>
    </row>
    <row r="15" spans="1:45" x14ac:dyDescent="0.2">
      <c r="A15" s="39">
        <v>12</v>
      </c>
      <c r="B15" s="9" t="s">
        <v>2</v>
      </c>
      <c r="C15" s="2" t="s">
        <v>3</v>
      </c>
      <c r="D15" s="2" t="s">
        <v>21</v>
      </c>
      <c r="E15" s="2">
        <v>48</v>
      </c>
      <c r="F15" s="10" t="str">
        <f t="shared" si="9"/>
        <v>LS-JCR-ROS-VAPOR-48hr</v>
      </c>
      <c r="H15" s="2" t="str">
        <f t="shared" si="4"/>
        <v>LS-JCR-ROS-VAPOR-48hr-d2H</v>
      </c>
      <c r="J15" s="43" t="s">
        <v>2</v>
      </c>
      <c r="K15" s="44" t="s">
        <v>5</v>
      </c>
      <c r="L15" s="44" t="s">
        <v>37</v>
      </c>
      <c r="M15" s="44">
        <v>3</v>
      </c>
      <c r="N15" s="45" t="str">
        <f t="shared" si="8"/>
        <v>CUE-JCR-SKY-0hr-3</v>
      </c>
      <c r="O15" s="75">
        <v>45782.5</v>
      </c>
      <c r="P15" s="75">
        <v>45782.5</v>
      </c>
      <c r="R15" s="48" t="s">
        <v>103</v>
      </c>
      <c r="T15" s="11" t="s">
        <v>2</v>
      </c>
      <c r="U15" s="12" t="s">
        <v>5</v>
      </c>
      <c r="V15" s="12" t="s">
        <v>38</v>
      </c>
      <c r="W15" s="12">
        <v>3</v>
      </c>
      <c r="X15" s="13" t="str">
        <f t="shared" si="5"/>
        <v>JCR-SKY-72hr-3</v>
      </c>
      <c r="Y15" s="56">
        <v>45777.496527777781</v>
      </c>
      <c r="Z15" s="61">
        <v>45780.513194444444</v>
      </c>
      <c r="AB15" s="11" t="s">
        <v>2</v>
      </c>
      <c r="AC15" s="12" t="s">
        <v>5</v>
      </c>
      <c r="AD15" s="12" t="s">
        <v>32</v>
      </c>
      <c r="AE15" s="12">
        <v>3</v>
      </c>
      <c r="AF15" s="13" t="str">
        <f t="shared" si="1"/>
        <v>JCR-SKY-24hr-3</v>
      </c>
      <c r="AG15" s="64">
        <v>45778.527777777781</v>
      </c>
      <c r="AH15" s="64">
        <v>45779.527083333334</v>
      </c>
      <c r="AJ15" s="11" t="s">
        <v>2</v>
      </c>
      <c r="AK15" s="12" t="s">
        <v>5</v>
      </c>
      <c r="AL15" s="12" t="s">
        <v>23</v>
      </c>
      <c r="AM15" s="12">
        <v>15</v>
      </c>
      <c r="AN15" s="13" t="str">
        <f t="shared" si="2"/>
        <v>JCR-SKY-pre-15</v>
      </c>
      <c r="AP15" s="17" t="s">
        <v>7</v>
      </c>
      <c r="AQ15" s="3" t="s">
        <v>5</v>
      </c>
      <c r="AR15" s="3" t="s">
        <v>24</v>
      </c>
      <c r="AS15" s="18" t="str">
        <f t="shared" si="10"/>
        <v>PAL-SKY-1h</v>
      </c>
    </row>
    <row r="16" spans="1:45" x14ac:dyDescent="0.2">
      <c r="A16" s="39">
        <v>13</v>
      </c>
      <c r="B16" s="11" t="s">
        <v>2</v>
      </c>
      <c r="C16" s="12" t="s">
        <v>3</v>
      </c>
      <c r="D16" s="12" t="s">
        <v>21</v>
      </c>
      <c r="E16" s="12">
        <v>72</v>
      </c>
      <c r="F16" s="13" t="str">
        <f t="shared" si="9"/>
        <v>LS-JCR-ROS-VAPOR-72hr</v>
      </c>
      <c r="H16" s="2" t="str">
        <f t="shared" si="4"/>
        <v>LS-JCR-ROS-VAPOR-72hr-d2H</v>
      </c>
      <c r="J16" s="43" t="s">
        <v>2</v>
      </c>
      <c r="K16" s="44" t="s">
        <v>5</v>
      </c>
      <c r="L16" s="44" t="s">
        <v>32</v>
      </c>
      <c r="M16" s="44">
        <v>1</v>
      </c>
      <c r="N16" s="45" t="str">
        <f t="shared" si="8"/>
        <v>CUE-JCR-SKY-24hr-1</v>
      </c>
      <c r="O16" s="75">
        <v>45782.5</v>
      </c>
      <c r="P16" s="75">
        <v>45783.5</v>
      </c>
      <c r="R16" s="26" t="s">
        <v>107</v>
      </c>
      <c r="T16" s="22" t="s">
        <v>6</v>
      </c>
      <c r="U16" s="23" t="s">
        <v>3</v>
      </c>
      <c r="V16" s="23" t="s">
        <v>17</v>
      </c>
      <c r="W16" s="23">
        <v>1</v>
      </c>
      <c r="X16" s="24" t="str">
        <f t="shared" si="5"/>
        <v>LOM-ROS-PRE-1</v>
      </c>
      <c r="Y16" s="57">
        <v>45777.496527777781</v>
      </c>
      <c r="Z16" s="57">
        <v>45777.496527777781</v>
      </c>
      <c r="AB16" s="6" t="s">
        <v>2</v>
      </c>
      <c r="AC16" s="7" t="s">
        <v>3</v>
      </c>
      <c r="AD16" s="7" t="s">
        <v>38</v>
      </c>
      <c r="AE16" s="7">
        <v>1</v>
      </c>
      <c r="AF16" s="8" t="str">
        <f t="shared" si="1"/>
        <v>JCR-ROS-72hr-1</v>
      </c>
      <c r="AG16" s="61">
        <v>45777.496527777781</v>
      </c>
      <c r="AH16" s="61">
        <v>45780.513194444444</v>
      </c>
      <c r="AJ16" s="6" t="s">
        <v>2</v>
      </c>
      <c r="AK16" s="7" t="s">
        <v>3</v>
      </c>
      <c r="AL16" s="7" t="s">
        <v>44</v>
      </c>
      <c r="AM16" s="7">
        <v>1</v>
      </c>
      <c r="AN16" s="8" t="str">
        <f t="shared" si="2"/>
        <v>JCR-ROS-0.5hr-1</v>
      </c>
      <c r="AP16" s="17"/>
      <c r="AQ16" s="3"/>
      <c r="AR16" s="3"/>
      <c r="AS16" s="18"/>
    </row>
    <row r="17" spans="1:45" x14ac:dyDescent="0.2">
      <c r="A17" s="39">
        <v>14</v>
      </c>
      <c r="B17" s="6" t="s">
        <v>2</v>
      </c>
      <c r="C17" s="7" t="s">
        <v>5</v>
      </c>
      <c r="D17" s="7" t="s">
        <v>4</v>
      </c>
      <c r="E17" s="7">
        <v>0</v>
      </c>
      <c r="F17" s="8" t="str">
        <f t="shared" si="9"/>
        <v>LS-JCR-SKY-WET-0hr</v>
      </c>
      <c r="H17" s="2" t="s">
        <v>35</v>
      </c>
      <c r="J17" s="43" t="s">
        <v>2</v>
      </c>
      <c r="K17" s="44" t="s">
        <v>5</v>
      </c>
      <c r="L17" s="44" t="s">
        <v>32</v>
      </c>
      <c r="M17" s="44">
        <v>2</v>
      </c>
      <c r="N17" s="45" t="str">
        <f t="shared" si="8"/>
        <v>CUE-JCR-SKY-24hr-2</v>
      </c>
      <c r="O17" s="75">
        <v>45782.5</v>
      </c>
      <c r="P17" s="75">
        <v>45783.5</v>
      </c>
      <c r="R17" s="26" t="s">
        <v>108</v>
      </c>
      <c r="T17" s="25" t="s">
        <v>6</v>
      </c>
      <c r="U17" s="4" t="s">
        <v>3</v>
      </c>
      <c r="V17" s="4" t="s">
        <v>17</v>
      </c>
      <c r="W17" s="4">
        <v>2</v>
      </c>
      <c r="X17" s="26" t="str">
        <f t="shared" si="5"/>
        <v>LOM-ROS-PRE-2</v>
      </c>
      <c r="Y17" s="57">
        <v>45777.496527777781</v>
      </c>
      <c r="Z17" s="57">
        <v>45777.496527777781</v>
      </c>
      <c r="AB17" s="9" t="s">
        <v>2</v>
      </c>
      <c r="AC17" s="2" t="s">
        <v>3</v>
      </c>
      <c r="AD17" s="2" t="s">
        <v>38</v>
      </c>
      <c r="AE17" s="2">
        <v>2</v>
      </c>
      <c r="AF17" s="10" t="str">
        <f t="shared" si="1"/>
        <v>JCR-ROS-72hr-2</v>
      </c>
      <c r="AG17" s="61">
        <v>45777.496527777781</v>
      </c>
      <c r="AH17" s="61">
        <v>45780.513194444444</v>
      </c>
      <c r="AJ17" s="9" t="s">
        <v>2</v>
      </c>
      <c r="AK17" s="2" t="s">
        <v>3</v>
      </c>
      <c r="AL17" s="2" t="s">
        <v>44</v>
      </c>
      <c r="AM17" s="2">
        <v>2</v>
      </c>
      <c r="AN17" s="10" t="str">
        <f t="shared" si="2"/>
        <v>JCR-ROS-0.5hr-2</v>
      </c>
      <c r="AP17" s="17" t="s">
        <v>7</v>
      </c>
      <c r="AQ17" s="3" t="s">
        <v>3</v>
      </c>
      <c r="AR17" s="3" t="s">
        <v>25</v>
      </c>
      <c r="AS17" s="18" t="str">
        <f t="shared" si="10"/>
        <v>PAL-ROS-6h</v>
      </c>
    </row>
    <row r="18" spans="1:45" x14ac:dyDescent="0.2">
      <c r="A18" s="39">
        <v>15</v>
      </c>
      <c r="B18" s="9" t="s">
        <v>2</v>
      </c>
      <c r="C18" s="2" t="s">
        <v>5</v>
      </c>
      <c r="D18" s="2" t="s">
        <v>4</v>
      </c>
      <c r="E18" s="2">
        <v>1</v>
      </c>
      <c r="F18" s="10" t="str">
        <f t="shared" si="9"/>
        <v>LS-JCR-SKY-WET-1hr</v>
      </c>
      <c r="H18" s="2" t="str">
        <f t="shared" si="4"/>
        <v>LS-JCR-SKY-WET-1hr-d2H</v>
      </c>
      <c r="J18" s="43" t="s">
        <v>2</v>
      </c>
      <c r="K18" s="44" t="s">
        <v>5</v>
      </c>
      <c r="L18" s="44" t="s">
        <v>32</v>
      </c>
      <c r="M18" s="44">
        <v>3</v>
      </c>
      <c r="N18" s="45" t="str">
        <f t="shared" si="8"/>
        <v>CUE-JCR-SKY-24hr-3</v>
      </c>
      <c r="O18" s="75">
        <v>45782.5</v>
      </c>
      <c r="P18" s="75">
        <v>45783.5</v>
      </c>
      <c r="R18" s="26" t="s">
        <v>109</v>
      </c>
      <c r="T18" s="27" t="s">
        <v>6</v>
      </c>
      <c r="U18" s="28" t="s">
        <v>3</v>
      </c>
      <c r="V18" s="28" t="s">
        <v>17</v>
      </c>
      <c r="W18" s="28">
        <v>3</v>
      </c>
      <c r="X18" s="29" t="str">
        <f t="shared" si="5"/>
        <v>LOM-ROS-PRE-3</v>
      </c>
      <c r="Y18" s="57">
        <v>45777.496527777781</v>
      </c>
      <c r="Z18" s="57">
        <v>45777.496527777781</v>
      </c>
      <c r="AB18" s="11" t="s">
        <v>2</v>
      </c>
      <c r="AC18" s="12" t="s">
        <v>3</v>
      </c>
      <c r="AD18" s="12" t="s">
        <v>38</v>
      </c>
      <c r="AE18" s="12">
        <v>3</v>
      </c>
      <c r="AF18" s="13" t="str">
        <f t="shared" si="1"/>
        <v>JCR-ROS-72hr-3</v>
      </c>
      <c r="AG18" s="61">
        <v>45777.496527777781</v>
      </c>
      <c r="AH18" s="61">
        <v>45780.513194444444</v>
      </c>
      <c r="AJ18" s="9" t="s">
        <v>2</v>
      </c>
      <c r="AK18" s="2" t="s">
        <v>3</v>
      </c>
      <c r="AL18" s="2" t="s">
        <v>44</v>
      </c>
      <c r="AM18" s="2">
        <v>3</v>
      </c>
      <c r="AN18" s="10" t="str">
        <f t="shared" si="2"/>
        <v>JCR-ROS-0.5hr-3</v>
      </c>
      <c r="AP18" s="17" t="s">
        <v>7</v>
      </c>
      <c r="AQ18" s="3" t="s">
        <v>5</v>
      </c>
      <c r="AR18" s="3" t="s">
        <v>25</v>
      </c>
      <c r="AS18" s="18" t="str">
        <f t="shared" si="10"/>
        <v>PAL-SKY-6h</v>
      </c>
    </row>
    <row r="19" spans="1:45" x14ac:dyDescent="0.2">
      <c r="A19" s="39">
        <v>16</v>
      </c>
      <c r="B19" s="9" t="s">
        <v>2</v>
      </c>
      <c r="C19" s="2" t="s">
        <v>5</v>
      </c>
      <c r="D19" s="2" t="s">
        <v>4</v>
      </c>
      <c r="E19" s="2">
        <v>3</v>
      </c>
      <c r="F19" s="10" t="str">
        <f t="shared" si="9"/>
        <v>LS-JCR-SKY-WET-3hr</v>
      </c>
      <c r="H19" s="2" t="str">
        <f t="shared" si="4"/>
        <v>LS-JCR-SKY-WET-3hr-d2H</v>
      </c>
      <c r="J19" s="43" t="s">
        <v>2</v>
      </c>
      <c r="K19" s="44" t="s">
        <v>5</v>
      </c>
      <c r="L19" s="44" t="s">
        <v>38</v>
      </c>
      <c r="M19" s="44">
        <v>1</v>
      </c>
      <c r="N19" s="45" t="str">
        <f t="shared" si="8"/>
        <v>CUE-JCR-SKY-72hr-1</v>
      </c>
      <c r="O19" s="75">
        <v>45782.5</v>
      </c>
      <c r="P19" s="76"/>
      <c r="R19" s="26" t="s">
        <v>110</v>
      </c>
      <c r="T19" s="22" t="s">
        <v>6</v>
      </c>
      <c r="U19" s="23" t="s">
        <v>5</v>
      </c>
      <c r="V19" s="23" t="s">
        <v>17</v>
      </c>
      <c r="W19" s="23">
        <v>1</v>
      </c>
      <c r="X19" s="24" t="str">
        <f t="shared" si="5"/>
        <v>LOM-SKY-PRE-1</v>
      </c>
      <c r="Y19" s="57">
        <v>45777.496527777781</v>
      </c>
      <c r="Z19" s="57">
        <v>45777.496527777781</v>
      </c>
      <c r="AB19" s="6" t="s">
        <v>2</v>
      </c>
      <c r="AC19" s="7" t="s">
        <v>5</v>
      </c>
      <c r="AD19" s="7" t="s">
        <v>38</v>
      </c>
      <c r="AE19" s="7">
        <v>1</v>
      </c>
      <c r="AF19" s="8" t="str">
        <f t="shared" si="1"/>
        <v>JCR-SKY-72hr-1</v>
      </c>
      <c r="AG19" s="61">
        <v>45777.496527777781</v>
      </c>
      <c r="AH19" s="61">
        <v>45780.513194444444</v>
      </c>
      <c r="AJ19" s="9" t="s">
        <v>2</v>
      </c>
      <c r="AK19" s="2" t="s">
        <v>3</v>
      </c>
      <c r="AL19" s="2" t="s">
        <v>44</v>
      </c>
      <c r="AM19" s="2">
        <v>8</v>
      </c>
      <c r="AN19" s="10" t="str">
        <f t="shared" si="2"/>
        <v>JCR-ROS-0.5hr-8</v>
      </c>
      <c r="AP19" s="17" t="s">
        <v>7</v>
      </c>
      <c r="AQ19" s="3" t="s">
        <v>3</v>
      </c>
      <c r="AR19" s="3" t="s">
        <v>26</v>
      </c>
      <c r="AS19" s="18" t="str">
        <f t="shared" si="10"/>
        <v>PAL-ROS-24h</v>
      </c>
    </row>
    <row r="20" spans="1:45" x14ac:dyDescent="0.2">
      <c r="A20" s="39">
        <v>17</v>
      </c>
      <c r="B20" s="9" t="s">
        <v>2</v>
      </c>
      <c r="C20" s="2" t="s">
        <v>5</v>
      </c>
      <c r="D20" s="2" t="s">
        <v>4</v>
      </c>
      <c r="E20" s="2">
        <v>6</v>
      </c>
      <c r="F20" s="10" t="str">
        <f t="shared" si="9"/>
        <v>LS-JCR-SKY-WET-6hr</v>
      </c>
      <c r="H20" s="2" t="str">
        <f t="shared" si="4"/>
        <v>LS-JCR-SKY-WET-6hr-d2H</v>
      </c>
      <c r="J20" s="43" t="s">
        <v>2</v>
      </c>
      <c r="K20" s="44" t="s">
        <v>5</v>
      </c>
      <c r="L20" s="44" t="s">
        <v>38</v>
      </c>
      <c r="M20" s="44">
        <v>2</v>
      </c>
      <c r="N20" s="45" t="str">
        <f t="shared" si="8"/>
        <v>CUE-JCR-SKY-72hr-2</v>
      </c>
      <c r="O20" s="75">
        <v>45782.5</v>
      </c>
      <c r="P20" s="76"/>
      <c r="R20" s="26" t="s">
        <v>111</v>
      </c>
      <c r="T20" s="25" t="s">
        <v>6</v>
      </c>
      <c r="U20" s="4" t="s">
        <v>5</v>
      </c>
      <c r="V20" s="4" t="s">
        <v>17</v>
      </c>
      <c r="W20" s="4">
        <v>2</v>
      </c>
      <c r="X20" s="26" t="str">
        <f t="shared" si="5"/>
        <v>LOM-SKY-PRE-2</v>
      </c>
      <c r="Y20" s="57">
        <v>45777.496527777781</v>
      </c>
      <c r="Z20" s="57">
        <v>45777.496527777781</v>
      </c>
      <c r="AB20" s="9" t="s">
        <v>2</v>
      </c>
      <c r="AC20" s="2" t="s">
        <v>5</v>
      </c>
      <c r="AD20" s="2" t="s">
        <v>38</v>
      </c>
      <c r="AE20" s="2">
        <v>2</v>
      </c>
      <c r="AF20" s="10" t="str">
        <f t="shared" si="1"/>
        <v>JCR-SKY-72hr-2</v>
      </c>
      <c r="AG20" s="61">
        <v>45777.496527777781</v>
      </c>
      <c r="AH20" s="61">
        <v>45780.513194444444</v>
      </c>
      <c r="AJ20" s="9" t="s">
        <v>2</v>
      </c>
      <c r="AK20" s="2" t="s">
        <v>3</v>
      </c>
      <c r="AL20" s="2" t="s">
        <v>44</v>
      </c>
      <c r="AM20" s="2">
        <v>12</v>
      </c>
      <c r="AN20" s="10" t="str">
        <f t="shared" si="2"/>
        <v>JCR-ROS-0.5hr-12</v>
      </c>
      <c r="AP20" s="19" t="s">
        <v>7</v>
      </c>
      <c r="AQ20" s="20" t="s">
        <v>3</v>
      </c>
      <c r="AR20" s="20" t="s">
        <v>27</v>
      </c>
      <c r="AS20" s="21" t="str">
        <f t="shared" si="10"/>
        <v>PAL-ROS-48h</v>
      </c>
    </row>
    <row r="21" spans="1:45" x14ac:dyDescent="0.2">
      <c r="A21" s="39">
        <v>18</v>
      </c>
      <c r="B21" s="9" t="s">
        <v>2</v>
      </c>
      <c r="C21" s="2" t="s">
        <v>5</v>
      </c>
      <c r="D21" s="2" t="s">
        <v>4</v>
      </c>
      <c r="E21" s="2">
        <v>24</v>
      </c>
      <c r="F21" s="10" t="str">
        <f t="shared" si="9"/>
        <v>LS-JCR-SKY-WET-24hr</v>
      </c>
      <c r="H21" s="2" t="str">
        <f t="shared" si="4"/>
        <v>LS-JCR-SKY-WET-24hr-d2H</v>
      </c>
      <c r="J21" s="46" t="s">
        <v>2</v>
      </c>
      <c r="K21" s="47" t="s">
        <v>5</v>
      </c>
      <c r="L21" s="47" t="s">
        <v>38</v>
      </c>
      <c r="M21" s="47">
        <v>3</v>
      </c>
      <c r="N21" s="48" t="str">
        <f t="shared" si="8"/>
        <v>CUE-JCR-SKY-72hr-3</v>
      </c>
      <c r="O21" s="75">
        <v>45782.5</v>
      </c>
      <c r="P21" s="76"/>
      <c r="R21" s="29" t="s">
        <v>112</v>
      </c>
      <c r="T21" s="27" t="s">
        <v>6</v>
      </c>
      <c r="U21" s="28" t="s">
        <v>5</v>
      </c>
      <c r="V21" s="28" t="s">
        <v>17</v>
      </c>
      <c r="W21" s="28">
        <v>3</v>
      </c>
      <c r="X21" s="29" t="str">
        <f t="shared" si="5"/>
        <v>LOM-SKY-PRE-3</v>
      </c>
      <c r="Y21" s="57">
        <v>45777.496527777781</v>
      </c>
      <c r="Z21" s="57">
        <v>45777.496527777781</v>
      </c>
      <c r="AB21" s="11" t="s">
        <v>2</v>
      </c>
      <c r="AC21" s="12" t="s">
        <v>5</v>
      </c>
      <c r="AD21" s="12" t="s">
        <v>38</v>
      </c>
      <c r="AE21" s="12">
        <v>3</v>
      </c>
      <c r="AF21" s="13" t="str">
        <f t="shared" si="1"/>
        <v>JCR-SKY-72hr-3</v>
      </c>
      <c r="AG21" s="61">
        <v>45777.496527777781</v>
      </c>
      <c r="AH21" s="61">
        <v>45780.513194444444</v>
      </c>
      <c r="AJ21" s="11" t="s">
        <v>2</v>
      </c>
      <c r="AK21" s="12" t="s">
        <v>3</v>
      </c>
      <c r="AL21" s="12" t="s">
        <v>44</v>
      </c>
      <c r="AM21" s="12">
        <v>15</v>
      </c>
      <c r="AN21" s="13" t="str">
        <f t="shared" si="2"/>
        <v>JCR-ROS-0.5hr-15</v>
      </c>
      <c r="AP21" s="22" t="s">
        <v>6</v>
      </c>
      <c r="AQ21" s="23" t="s">
        <v>3</v>
      </c>
      <c r="AR21" s="23" t="s">
        <v>23</v>
      </c>
      <c r="AS21" s="24" t="str">
        <f>_xlfn.CONCAT(AP21,"-",AQ21,"-",AR21)</f>
        <v>LOM-ROS-pre</v>
      </c>
    </row>
    <row r="22" spans="1:45" x14ac:dyDescent="0.2">
      <c r="A22" s="39">
        <v>19</v>
      </c>
      <c r="B22" s="9" t="s">
        <v>2</v>
      </c>
      <c r="C22" s="2" t="s">
        <v>5</v>
      </c>
      <c r="D22" s="2" t="s">
        <v>4</v>
      </c>
      <c r="E22" s="2">
        <v>48</v>
      </c>
      <c r="F22" s="10" t="str">
        <f t="shared" si="9"/>
        <v>LS-JCR-SKY-WET-48hr</v>
      </c>
      <c r="H22" s="2" t="str">
        <f t="shared" si="4"/>
        <v>LS-JCR-SKY-WET-48hr-d2H</v>
      </c>
      <c r="J22" s="22" t="s">
        <v>6</v>
      </c>
      <c r="K22" s="23" t="s">
        <v>3</v>
      </c>
      <c r="L22" s="23" t="s">
        <v>37</v>
      </c>
      <c r="M22" s="23">
        <v>1</v>
      </c>
      <c r="N22" s="24" t="str">
        <f t="shared" ref="N22:N27" si="11">_xlfn.CONCAT("CUE-",J22,"-",K22,"-",L22,"-",M22)</f>
        <v>CUE-LOM-ROS-0hr-1</v>
      </c>
      <c r="O22" s="57">
        <v>45782.5</v>
      </c>
      <c r="P22" s="57">
        <v>45782.5</v>
      </c>
      <c r="R22" s="26" t="s">
        <v>116</v>
      </c>
      <c r="T22" s="22" t="s">
        <v>6</v>
      </c>
      <c r="U22" s="23" t="s">
        <v>3</v>
      </c>
      <c r="V22" s="23" t="s">
        <v>38</v>
      </c>
      <c r="W22" s="23">
        <v>1</v>
      </c>
      <c r="X22" s="24" t="str">
        <f t="shared" si="5"/>
        <v>LOM-ROS-72hr-1</v>
      </c>
      <c r="Y22" s="57">
        <v>45777.496527777781</v>
      </c>
      <c r="Z22" s="62">
        <v>45780.513194444444</v>
      </c>
      <c r="AB22" s="22" t="s">
        <v>6</v>
      </c>
      <c r="AC22" s="23" t="s">
        <v>3</v>
      </c>
      <c r="AD22" s="23" t="s">
        <v>17</v>
      </c>
      <c r="AE22" s="23">
        <v>1</v>
      </c>
      <c r="AF22" s="24" t="str">
        <f t="shared" si="1"/>
        <v>LOM-ROS-PRE-1</v>
      </c>
      <c r="AG22" s="62">
        <v>45777.496527777781</v>
      </c>
      <c r="AH22" s="62">
        <v>45777.496527777781</v>
      </c>
      <c r="AJ22" s="6" t="s">
        <v>2</v>
      </c>
      <c r="AK22" s="7" t="s">
        <v>5</v>
      </c>
      <c r="AL22" s="7" t="s">
        <v>44</v>
      </c>
      <c r="AM22" s="7">
        <v>1</v>
      </c>
      <c r="AN22" s="8" t="str">
        <f t="shared" si="2"/>
        <v>JCR-SKY-0.5hr-1</v>
      </c>
      <c r="AP22" s="25" t="s">
        <v>6</v>
      </c>
      <c r="AQ22" s="4" t="s">
        <v>5</v>
      </c>
      <c r="AR22" s="4" t="s">
        <v>23</v>
      </c>
      <c r="AS22" s="26" t="str">
        <f t="shared" ref="AS22:AS28" si="12">_xlfn.CONCAT(AP22,"-",AQ22,"-",AR22)</f>
        <v>LOM-SKY-pre</v>
      </c>
    </row>
    <row r="23" spans="1:45" x14ac:dyDescent="0.2">
      <c r="A23" s="39">
        <v>20</v>
      </c>
      <c r="B23" s="11" t="s">
        <v>2</v>
      </c>
      <c r="C23" s="12" t="s">
        <v>5</v>
      </c>
      <c r="D23" s="12" t="s">
        <v>4</v>
      </c>
      <c r="E23" s="12">
        <v>72</v>
      </c>
      <c r="F23" s="13" t="str">
        <f t="shared" si="9"/>
        <v>LS-JCR-SKY-WET-72hr</v>
      </c>
      <c r="H23" s="2" t="str">
        <f t="shared" si="4"/>
        <v>LS-JCR-SKY-WET-72hr-d2H</v>
      </c>
      <c r="J23" s="25" t="s">
        <v>6</v>
      </c>
      <c r="K23" s="4" t="s">
        <v>3</v>
      </c>
      <c r="L23" s="4" t="s">
        <v>37</v>
      </c>
      <c r="M23" s="4">
        <v>2</v>
      </c>
      <c r="N23" s="26" t="str">
        <f t="shared" si="11"/>
        <v>CUE-LOM-ROS-0hr-2</v>
      </c>
      <c r="O23" s="57">
        <v>45782.5</v>
      </c>
      <c r="P23" s="57">
        <v>45782.5</v>
      </c>
      <c r="R23" s="26" t="s">
        <v>117</v>
      </c>
      <c r="T23" s="25" t="s">
        <v>6</v>
      </c>
      <c r="U23" s="4" t="s">
        <v>3</v>
      </c>
      <c r="V23" s="4" t="s">
        <v>38</v>
      </c>
      <c r="W23" s="4">
        <v>2</v>
      </c>
      <c r="X23" s="26" t="str">
        <f t="shared" si="5"/>
        <v>LOM-ROS-72hr-2</v>
      </c>
      <c r="Y23" s="57">
        <v>45777.496527777781</v>
      </c>
      <c r="Z23" s="62">
        <v>45780.513194444444</v>
      </c>
      <c r="AB23" s="25" t="s">
        <v>6</v>
      </c>
      <c r="AC23" s="4" t="s">
        <v>3</v>
      </c>
      <c r="AD23" s="4" t="s">
        <v>17</v>
      </c>
      <c r="AE23" s="4">
        <v>2</v>
      </c>
      <c r="AF23" s="26" t="str">
        <f t="shared" si="1"/>
        <v>LOM-ROS-PRE-2</v>
      </c>
      <c r="AG23" s="62">
        <v>45777.496527777781</v>
      </c>
      <c r="AH23" s="62">
        <v>45777.496527777781</v>
      </c>
      <c r="AJ23" s="9" t="s">
        <v>2</v>
      </c>
      <c r="AK23" s="2" t="s">
        <v>5</v>
      </c>
      <c r="AL23" s="2" t="s">
        <v>44</v>
      </c>
      <c r="AM23" s="2">
        <v>2</v>
      </c>
      <c r="AN23" s="10" t="str">
        <f t="shared" ref="AN23:AN27" si="13">_xlfn.CONCAT(AJ23,"-",AK23,"-",AL23,"-",AM23)</f>
        <v>JCR-SKY-0.5hr-2</v>
      </c>
      <c r="AP23" s="25" t="s">
        <v>6</v>
      </c>
      <c r="AQ23" s="4" t="s">
        <v>3</v>
      </c>
      <c r="AR23" s="4" t="s">
        <v>24</v>
      </c>
      <c r="AS23" s="26" t="str">
        <f t="shared" si="12"/>
        <v>LOM-ROS-1h</v>
      </c>
    </row>
    <row r="24" spans="1:45" x14ac:dyDescent="0.2">
      <c r="A24" s="39">
        <v>21</v>
      </c>
      <c r="B24" s="9" t="s">
        <v>2</v>
      </c>
      <c r="C24" s="2" t="s">
        <v>5</v>
      </c>
      <c r="D24" s="2" t="s">
        <v>21</v>
      </c>
      <c r="E24" s="2">
        <v>1</v>
      </c>
      <c r="F24" s="10" t="str">
        <f t="shared" si="9"/>
        <v>LS-JCR-SKY-VAPOR-1hr</v>
      </c>
      <c r="H24" s="2" t="str">
        <f t="shared" si="4"/>
        <v>LS-JCR-SKY-VAPOR-1hr-d2H</v>
      </c>
      <c r="J24" s="25" t="s">
        <v>6</v>
      </c>
      <c r="K24" s="4" t="s">
        <v>3</v>
      </c>
      <c r="L24" s="4" t="s">
        <v>37</v>
      </c>
      <c r="M24" s="4">
        <v>3</v>
      </c>
      <c r="N24" s="26" t="str">
        <f t="shared" si="11"/>
        <v>CUE-LOM-ROS-0hr-3</v>
      </c>
      <c r="O24" s="57">
        <v>45782.5</v>
      </c>
      <c r="P24" s="57">
        <v>45782.5</v>
      </c>
      <c r="R24" s="26" t="s">
        <v>118</v>
      </c>
      <c r="T24" s="27" t="s">
        <v>6</v>
      </c>
      <c r="U24" s="28" t="s">
        <v>3</v>
      </c>
      <c r="V24" s="28" t="s">
        <v>38</v>
      </c>
      <c r="W24" s="28">
        <v>3</v>
      </c>
      <c r="X24" s="29" t="str">
        <f t="shared" si="5"/>
        <v>LOM-ROS-72hr-3</v>
      </c>
      <c r="Y24" s="57">
        <v>45777.496527777781</v>
      </c>
      <c r="Z24" s="62">
        <v>45780.513194444444</v>
      </c>
      <c r="AB24" s="30" t="s">
        <v>6</v>
      </c>
      <c r="AC24" s="31" t="s">
        <v>3</v>
      </c>
      <c r="AD24" s="31" t="s">
        <v>17</v>
      </c>
      <c r="AE24" s="31">
        <v>3</v>
      </c>
      <c r="AF24" s="32" t="str">
        <f t="shared" si="1"/>
        <v>LOM-ROS-PRE-3</v>
      </c>
      <c r="AG24" s="62">
        <v>45777.496527777781</v>
      </c>
      <c r="AH24" s="62">
        <v>45777.496527777781</v>
      </c>
      <c r="AJ24" s="9" t="s">
        <v>2</v>
      </c>
      <c r="AK24" s="2" t="s">
        <v>5</v>
      </c>
      <c r="AL24" s="2" t="s">
        <v>44</v>
      </c>
      <c r="AM24" s="2">
        <v>3</v>
      </c>
      <c r="AN24" s="10" t="str">
        <f t="shared" si="13"/>
        <v>JCR-SKY-0.5hr-3</v>
      </c>
      <c r="AP24" s="25" t="s">
        <v>6</v>
      </c>
      <c r="AQ24" s="4" t="s">
        <v>5</v>
      </c>
      <c r="AR24" s="4" t="s">
        <v>24</v>
      </c>
      <c r="AS24" s="26" t="str">
        <f t="shared" si="12"/>
        <v>LOM-SKY-1h</v>
      </c>
    </row>
    <row r="25" spans="1:45" x14ac:dyDescent="0.2">
      <c r="A25" s="39">
        <v>22</v>
      </c>
      <c r="B25" s="9" t="s">
        <v>2</v>
      </c>
      <c r="C25" s="2" t="s">
        <v>5</v>
      </c>
      <c r="D25" s="2" t="s">
        <v>21</v>
      </c>
      <c r="E25" s="2">
        <v>3</v>
      </c>
      <c r="F25" s="10" t="str">
        <f t="shared" si="9"/>
        <v>LS-JCR-SKY-VAPOR-3hr</v>
      </c>
      <c r="H25" s="2" t="str">
        <f t="shared" si="4"/>
        <v>LS-JCR-SKY-VAPOR-3hr-d2H</v>
      </c>
      <c r="J25" s="25" t="s">
        <v>6</v>
      </c>
      <c r="K25" s="4" t="s">
        <v>3</v>
      </c>
      <c r="L25" s="4" t="s">
        <v>32</v>
      </c>
      <c r="M25" s="4">
        <v>1</v>
      </c>
      <c r="N25" s="26" t="str">
        <f t="shared" si="11"/>
        <v>CUE-LOM-ROS-24hr-1</v>
      </c>
      <c r="O25" s="57">
        <v>45782.5</v>
      </c>
      <c r="P25" s="57">
        <v>45783.5</v>
      </c>
      <c r="R25" s="26" t="s">
        <v>119</v>
      </c>
      <c r="T25" s="22" t="s">
        <v>6</v>
      </c>
      <c r="U25" s="23" t="s">
        <v>5</v>
      </c>
      <c r="V25" s="23" t="s">
        <v>38</v>
      </c>
      <c r="W25" s="23">
        <v>1</v>
      </c>
      <c r="X25" s="24" t="str">
        <f t="shared" si="5"/>
        <v>LOM-SKY-72hr-1</v>
      </c>
      <c r="Y25" s="57">
        <v>45777.496527777781</v>
      </c>
      <c r="Z25" s="62">
        <v>45780.513194444444</v>
      </c>
      <c r="AB25" s="33" t="s">
        <v>6</v>
      </c>
      <c r="AC25" s="34" t="s">
        <v>5</v>
      </c>
      <c r="AD25" s="34" t="s">
        <v>17</v>
      </c>
      <c r="AE25" s="34">
        <v>1</v>
      </c>
      <c r="AF25" s="35" t="str">
        <f t="shared" si="1"/>
        <v>LOM-SKY-PRE-1</v>
      </c>
      <c r="AG25" s="62">
        <v>45777.496527777781</v>
      </c>
      <c r="AH25" s="62">
        <v>45777.496527777781</v>
      </c>
      <c r="AJ25" s="9" t="s">
        <v>2</v>
      </c>
      <c r="AK25" s="2" t="s">
        <v>5</v>
      </c>
      <c r="AL25" s="2" t="s">
        <v>44</v>
      </c>
      <c r="AM25" s="2">
        <v>8</v>
      </c>
      <c r="AN25" s="10" t="str">
        <f t="shared" si="13"/>
        <v>JCR-SKY-0.5hr-8</v>
      </c>
      <c r="AP25" s="25" t="s">
        <v>6</v>
      </c>
      <c r="AQ25" s="4" t="s">
        <v>3</v>
      </c>
      <c r="AR25" s="4" t="s">
        <v>25</v>
      </c>
      <c r="AS25" s="26" t="str">
        <f t="shared" si="12"/>
        <v>LOM-ROS-6h</v>
      </c>
    </row>
    <row r="26" spans="1:45" x14ac:dyDescent="0.2">
      <c r="A26" s="39">
        <v>23</v>
      </c>
      <c r="B26" s="9" t="s">
        <v>2</v>
      </c>
      <c r="C26" s="2" t="s">
        <v>5</v>
      </c>
      <c r="D26" s="2" t="s">
        <v>21</v>
      </c>
      <c r="E26" s="2">
        <v>6</v>
      </c>
      <c r="F26" s="10" t="str">
        <f t="shared" si="9"/>
        <v>LS-JCR-SKY-VAPOR-6hr</v>
      </c>
      <c r="H26" s="2" t="str">
        <f t="shared" si="4"/>
        <v>LS-JCR-SKY-VAPOR-6hr-d2H</v>
      </c>
      <c r="J26" s="25" t="s">
        <v>6</v>
      </c>
      <c r="K26" s="4" t="s">
        <v>3</v>
      </c>
      <c r="L26" s="4" t="s">
        <v>32</v>
      </c>
      <c r="M26" s="4">
        <v>2</v>
      </c>
      <c r="N26" s="26" t="str">
        <f t="shared" si="11"/>
        <v>CUE-LOM-ROS-24hr-2</v>
      </c>
      <c r="O26" s="57">
        <v>45782.5</v>
      </c>
      <c r="P26" s="57">
        <v>45783.5</v>
      </c>
      <c r="R26" s="26" t="s">
        <v>120</v>
      </c>
      <c r="T26" s="25" t="s">
        <v>6</v>
      </c>
      <c r="U26" s="4" t="s">
        <v>5</v>
      </c>
      <c r="V26" s="4" t="s">
        <v>38</v>
      </c>
      <c r="W26" s="4">
        <v>2</v>
      </c>
      <c r="X26" s="26" t="str">
        <f t="shared" si="5"/>
        <v>LOM-SKY-72hr-2</v>
      </c>
      <c r="Y26" s="57">
        <v>45777.496527777781</v>
      </c>
      <c r="Z26" s="62">
        <v>45780.513194444444</v>
      </c>
      <c r="AB26" s="36" t="s">
        <v>6</v>
      </c>
      <c r="AC26" s="37" t="s">
        <v>5</v>
      </c>
      <c r="AD26" s="37" t="s">
        <v>17</v>
      </c>
      <c r="AE26" s="37">
        <v>2</v>
      </c>
      <c r="AF26" s="38" t="str">
        <f t="shared" si="1"/>
        <v>LOM-SKY-PRE-2</v>
      </c>
      <c r="AG26" s="62">
        <v>45777.496527777781</v>
      </c>
      <c r="AH26" s="62">
        <v>45777.496527777781</v>
      </c>
      <c r="AJ26" s="9" t="s">
        <v>2</v>
      </c>
      <c r="AK26" s="2" t="s">
        <v>5</v>
      </c>
      <c r="AL26" s="2" t="s">
        <v>44</v>
      </c>
      <c r="AM26" s="2">
        <v>12</v>
      </c>
      <c r="AN26" s="10" t="str">
        <f t="shared" si="13"/>
        <v>JCR-SKY-0.5hr-12</v>
      </c>
      <c r="AP26" s="25" t="s">
        <v>6</v>
      </c>
      <c r="AQ26" s="4" t="s">
        <v>5</v>
      </c>
      <c r="AR26" s="4" t="s">
        <v>25</v>
      </c>
      <c r="AS26" s="26" t="str">
        <f t="shared" si="12"/>
        <v>LOM-SKY-6h</v>
      </c>
    </row>
    <row r="27" spans="1:45" x14ac:dyDescent="0.2">
      <c r="A27" s="39">
        <v>24</v>
      </c>
      <c r="B27" s="9" t="s">
        <v>2</v>
      </c>
      <c r="C27" s="2" t="s">
        <v>5</v>
      </c>
      <c r="D27" s="2" t="s">
        <v>21</v>
      </c>
      <c r="E27" s="2">
        <v>24</v>
      </c>
      <c r="F27" s="10" t="str">
        <f t="shared" si="9"/>
        <v>LS-JCR-SKY-VAPOR-24hr</v>
      </c>
      <c r="H27" s="2" t="str">
        <f t="shared" si="4"/>
        <v>LS-JCR-SKY-VAPOR-24hr-d2H</v>
      </c>
      <c r="J27" s="25" t="s">
        <v>6</v>
      </c>
      <c r="K27" s="4" t="s">
        <v>3</v>
      </c>
      <c r="L27" s="4" t="s">
        <v>32</v>
      </c>
      <c r="M27" s="4">
        <v>3</v>
      </c>
      <c r="N27" s="26" t="str">
        <f t="shared" si="11"/>
        <v>CUE-LOM-ROS-24hr-3</v>
      </c>
      <c r="O27" s="57">
        <v>45782.5</v>
      </c>
      <c r="P27" s="57">
        <v>45783.5</v>
      </c>
      <c r="R27" s="29" t="s">
        <v>121</v>
      </c>
      <c r="T27" s="27" t="s">
        <v>6</v>
      </c>
      <c r="U27" s="28" t="s">
        <v>5</v>
      </c>
      <c r="V27" s="28" t="s">
        <v>38</v>
      </c>
      <c r="W27" s="28">
        <v>3</v>
      </c>
      <c r="X27" s="29" t="str">
        <f t="shared" si="5"/>
        <v>LOM-SKY-72hr-3</v>
      </c>
      <c r="Y27" s="57">
        <v>45777.496527777781</v>
      </c>
      <c r="Z27" s="62">
        <v>45780.513194444444</v>
      </c>
      <c r="AB27" s="30" t="s">
        <v>6</v>
      </c>
      <c r="AC27" s="31" t="s">
        <v>5</v>
      </c>
      <c r="AD27" s="31" t="s">
        <v>17</v>
      </c>
      <c r="AE27" s="31">
        <v>3</v>
      </c>
      <c r="AF27" s="32" t="str">
        <f t="shared" si="1"/>
        <v>LOM-SKY-PRE-3</v>
      </c>
      <c r="AG27" s="62">
        <v>45777.496527777781</v>
      </c>
      <c r="AH27" s="62">
        <v>45777.496527777781</v>
      </c>
      <c r="AJ27" s="11" t="s">
        <v>2</v>
      </c>
      <c r="AK27" s="12" t="s">
        <v>5</v>
      </c>
      <c r="AL27" s="12" t="s">
        <v>44</v>
      </c>
      <c r="AM27" s="12">
        <v>15</v>
      </c>
      <c r="AN27" s="13" t="str">
        <f t="shared" si="13"/>
        <v>JCR-SKY-0.5hr-15</v>
      </c>
      <c r="AP27" s="25" t="s">
        <v>6</v>
      </c>
      <c r="AQ27" s="4" t="s">
        <v>3</v>
      </c>
      <c r="AR27" s="4" t="s">
        <v>26</v>
      </c>
      <c r="AS27" s="26" t="str">
        <f t="shared" si="12"/>
        <v>LOM-ROS-24h</v>
      </c>
    </row>
    <row r="28" spans="1:45" x14ac:dyDescent="0.2">
      <c r="A28" s="39">
        <v>25</v>
      </c>
      <c r="B28" s="9" t="s">
        <v>2</v>
      </c>
      <c r="C28" s="2" t="s">
        <v>5</v>
      </c>
      <c r="D28" s="2" t="s">
        <v>21</v>
      </c>
      <c r="E28" s="2">
        <v>48</v>
      </c>
      <c r="F28" s="10" t="str">
        <f t="shared" si="9"/>
        <v>LS-JCR-SKY-VAPOR-48hr</v>
      </c>
      <c r="H28" s="2" t="str">
        <f t="shared" si="4"/>
        <v>LS-JCR-SKY-VAPOR-48hr-d2H</v>
      </c>
      <c r="J28" s="25" t="s">
        <v>6</v>
      </c>
      <c r="K28" s="4" t="s">
        <v>3</v>
      </c>
      <c r="L28" s="4" t="s">
        <v>38</v>
      </c>
      <c r="M28" s="4">
        <v>1</v>
      </c>
      <c r="N28" s="26" t="str">
        <f t="shared" ref="N28:N39" si="14">_xlfn.CONCAT("CUE-",J28,"-",K28,"-",L28,"-",M28)</f>
        <v>CUE-LOM-ROS-72hr-1</v>
      </c>
      <c r="O28" s="57">
        <v>45782.5</v>
      </c>
      <c r="P28" s="76"/>
      <c r="AB28" s="22" t="s">
        <v>6</v>
      </c>
      <c r="AC28" s="23" t="s">
        <v>3</v>
      </c>
      <c r="AD28" s="23" t="s">
        <v>32</v>
      </c>
      <c r="AE28" s="23">
        <v>1</v>
      </c>
      <c r="AF28" s="24" t="str">
        <f t="shared" si="1"/>
        <v>LOM-ROS-24hr-1</v>
      </c>
      <c r="AG28" s="65">
        <v>45778.527777777781</v>
      </c>
      <c r="AH28" s="65">
        <v>45779.527083333334</v>
      </c>
      <c r="AJ28" s="6" t="s">
        <v>2</v>
      </c>
      <c r="AK28" s="7" t="s">
        <v>3</v>
      </c>
      <c r="AL28" s="7" t="s">
        <v>24</v>
      </c>
      <c r="AM28" s="7">
        <v>1</v>
      </c>
      <c r="AN28" s="8" t="str">
        <f>_xlfn.CONCAT(AJ28,"-",AK28,"-",AL28,"-",AM28)</f>
        <v>JCR-ROS-1h-1</v>
      </c>
      <c r="AP28" s="27" t="s">
        <v>6</v>
      </c>
      <c r="AQ28" s="28" t="s">
        <v>3</v>
      </c>
      <c r="AR28" s="28" t="s">
        <v>27</v>
      </c>
      <c r="AS28" s="29" t="str">
        <f t="shared" si="12"/>
        <v>LOM-ROS-48h</v>
      </c>
    </row>
    <row r="29" spans="1:45" x14ac:dyDescent="0.2">
      <c r="A29" s="39">
        <v>26</v>
      </c>
      <c r="B29" s="11" t="s">
        <v>2</v>
      </c>
      <c r="C29" s="12" t="s">
        <v>5</v>
      </c>
      <c r="D29" s="12" t="s">
        <v>21</v>
      </c>
      <c r="E29" s="12">
        <v>72</v>
      </c>
      <c r="F29" s="13" t="str">
        <f t="shared" si="9"/>
        <v>LS-JCR-SKY-VAPOR-72hr</v>
      </c>
      <c r="H29" s="2" t="str">
        <f t="shared" si="4"/>
        <v>LS-JCR-SKY-VAPOR-72hr-d2H</v>
      </c>
      <c r="J29" s="25" t="s">
        <v>6</v>
      </c>
      <c r="K29" s="4" t="s">
        <v>3</v>
      </c>
      <c r="L29" s="4" t="s">
        <v>38</v>
      </c>
      <c r="M29" s="4">
        <v>2</v>
      </c>
      <c r="N29" s="26" t="str">
        <f t="shared" si="14"/>
        <v>CUE-LOM-ROS-72hr-2</v>
      </c>
      <c r="O29" s="57">
        <v>45782.5</v>
      </c>
      <c r="P29" s="76"/>
      <c r="AB29" s="25" t="s">
        <v>6</v>
      </c>
      <c r="AC29" s="4" t="s">
        <v>3</v>
      </c>
      <c r="AD29" s="4" t="s">
        <v>32</v>
      </c>
      <c r="AE29" s="4">
        <v>2</v>
      </c>
      <c r="AF29" s="26" t="str">
        <f t="shared" si="1"/>
        <v>LOM-ROS-24hr-2</v>
      </c>
      <c r="AG29" s="65">
        <v>45778.527777777781</v>
      </c>
      <c r="AH29" s="65">
        <v>45779.527083333334</v>
      </c>
      <c r="AJ29" s="9" t="s">
        <v>2</v>
      </c>
      <c r="AK29" s="2" t="s">
        <v>3</v>
      </c>
      <c r="AL29" s="2" t="s">
        <v>24</v>
      </c>
      <c r="AM29" s="2">
        <v>2</v>
      </c>
      <c r="AN29" s="10" t="str">
        <f t="shared" ref="AN29:AN33" si="15">_xlfn.CONCAT(AJ29,"-",AK29,"-",AL29,"-",AM29)</f>
        <v>JCR-ROS-1h-2</v>
      </c>
    </row>
    <row r="30" spans="1:45" x14ac:dyDescent="0.2">
      <c r="A30" s="39">
        <v>27</v>
      </c>
      <c r="B30" s="22" t="s">
        <v>6</v>
      </c>
      <c r="C30" s="23" t="s">
        <v>3</v>
      </c>
      <c r="D30" s="23" t="s">
        <v>4</v>
      </c>
      <c r="E30" s="23">
        <v>0</v>
      </c>
      <c r="F30" s="4" t="str">
        <f>_xlfn.CONCAT("LS","-",B30,"-",C30,"-",D30,"-",E30,"hr")</f>
        <v>LS-LOM-ROS-WET-0hr</v>
      </c>
      <c r="H30" s="4" t="s">
        <v>35</v>
      </c>
      <c r="J30" s="27" t="s">
        <v>6</v>
      </c>
      <c r="K30" s="28" t="s">
        <v>3</v>
      </c>
      <c r="L30" s="28" t="s">
        <v>38</v>
      </c>
      <c r="M30" s="28">
        <v>3</v>
      </c>
      <c r="N30" s="29" t="str">
        <f t="shared" si="14"/>
        <v>CUE-LOM-ROS-72hr-3</v>
      </c>
      <c r="O30" s="57">
        <v>45782.5</v>
      </c>
      <c r="P30" s="76"/>
      <c r="AB30" s="30" t="s">
        <v>6</v>
      </c>
      <c r="AC30" s="31" t="s">
        <v>3</v>
      </c>
      <c r="AD30" s="31" t="s">
        <v>32</v>
      </c>
      <c r="AE30" s="31">
        <v>3</v>
      </c>
      <c r="AF30" s="32" t="str">
        <f t="shared" si="1"/>
        <v>LOM-ROS-24hr-3</v>
      </c>
      <c r="AG30" s="65">
        <v>45778.527777777781</v>
      </c>
      <c r="AH30" s="65">
        <v>45779.527083333334</v>
      </c>
      <c r="AJ30" s="9" t="s">
        <v>2</v>
      </c>
      <c r="AK30" s="2" t="s">
        <v>3</v>
      </c>
      <c r="AL30" s="2" t="s">
        <v>24</v>
      </c>
      <c r="AM30" s="2">
        <v>3</v>
      </c>
      <c r="AN30" s="10" t="str">
        <f t="shared" si="15"/>
        <v>JCR-ROS-1h-3</v>
      </c>
    </row>
    <row r="31" spans="1:45" x14ac:dyDescent="0.2">
      <c r="A31" s="39">
        <v>28</v>
      </c>
      <c r="B31" s="25" t="s">
        <v>6</v>
      </c>
      <c r="C31" s="4" t="s">
        <v>3</v>
      </c>
      <c r="D31" s="4" t="s">
        <v>4</v>
      </c>
      <c r="E31" s="4">
        <v>1</v>
      </c>
      <c r="F31" s="26" t="str">
        <f>_xlfn.CONCAT("LS","-",B31,"-",C31,"-",D31,"-",E31,"hr")</f>
        <v>LS-LOM-ROS-WET-1hr</v>
      </c>
      <c r="H31" s="4" t="str">
        <f t="shared" si="4"/>
        <v>LS-LOM-ROS-WET-1hr-d2H</v>
      </c>
      <c r="J31" s="22" t="s">
        <v>6</v>
      </c>
      <c r="K31" s="23" t="s">
        <v>5</v>
      </c>
      <c r="L31" s="23" t="s">
        <v>37</v>
      </c>
      <c r="M31" s="23">
        <v>1</v>
      </c>
      <c r="N31" s="24" t="str">
        <f t="shared" si="14"/>
        <v>CUE-LOM-SKY-0hr-1</v>
      </c>
      <c r="O31" s="57">
        <v>45782.5</v>
      </c>
      <c r="P31" s="57">
        <v>45782.5</v>
      </c>
      <c r="AB31" s="33" t="s">
        <v>6</v>
      </c>
      <c r="AC31" s="34" t="s">
        <v>5</v>
      </c>
      <c r="AD31" s="34" t="s">
        <v>32</v>
      </c>
      <c r="AE31" s="34">
        <v>1</v>
      </c>
      <c r="AF31" s="35" t="str">
        <f t="shared" si="1"/>
        <v>LOM-SKY-24hr-1</v>
      </c>
      <c r="AG31" s="65">
        <v>45778.527777777781</v>
      </c>
      <c r="AH31" s="65">
        <v>45779.527083333334</v>
      </c>
      <c r="AJ31" s="9" t="s">
        <v>2</v>
      </c>
      <c r="AK31" s="2" t="s">
        <v>3</v>
      </c>
      <c r="AL31" s="2" t="s">
        <v>24</v>
      </c>
      <c r="AM31" s="2">
        <v>8</v>
      </c>
      <c r="AN31" s="10" t="str">
        <f t="shared" si="15"/>
        <v>JCR-ROS-1h-8</v>
      </c>
    </row>
    <row r="32" spans="1:45" x14ac:dyDescent="0.2">
      <c r="A32" s="39">
        <v>29</v>
      </c>
      <c r="B32" s="25" t="s">
        <v>6</v>
      </c>
      <c r="C32" s="4" t="s">
        <v>3</v>
      </c>
      <c r="D32" s="4" t="s">
        <v>4</v>
      </c>
      <c r="E32" s="4">
        <v>3</v>
      </c>
      <c r="F32" s="26" t="str">
        <f t="shared" ref="F32:F55" si="16">_xlfn.CONCAT("LS","-",B32,"-",C32,"-",D32,"-",E32,"hr")</f>
        <v>LS-LOM-ROS-WET-3hr</v>
      </c>
      <c r="H32" s="4" t="str">
        <f t="shared" si="4"/>
        <v>LS-LOM-ROS-WET-3hr-d2H</v>
      </c>
      <c r="J32" s="25" t="s">
        <v>6</v>
      </c>
      <c r="K32" s="4" t="s">
        <v>5</v>
      </c>
      <c r="L32" s="4" t="s">
        <v>37</v>
      </c>
      <c r="M32" s="4">
        <v>2</v>
      </c>
      <c r="N32" s="26" t="str">
        <f t="shared" si="14"/>
        <v>CUE-LOM-SKY-0hr-2</v>
      </c>
      <c r="O32" s="57">
        <v>45782.5</v>
      </c>
      <c r="P32" s="57">
        <v>45782.5</v>
      </c>
      <c r="AB32" s="36" t="s">
        <v>6</v>
      </c>
      <c r="AC32" s="37" t="s">
        <v>5</v>
      </c>
      <c r="AD32" s="37" t="s">
        <v>32</v>
      </c>
      <c r="AE32" s="37">
        <v>2</v>
      </c>
      <c r="AF32" s="38" t="str">
        <f t="shared" si="1"/>
        <v>LOM-SKY-24hr-2</v>
      </c>
      <c r="AG32" s="65">
        <v>45778.527777777781</v>
      </c>
      <c r="AH32" s="65">
        <v>45779.527083333334</v>
      </c>
      <c r="AJ32" s="9" t="s">
        <v>2</v>
      </c>
      <c r="AK32" s="2" t="s">
        <v>3</v>
      </c>
      <c r="AL32" s="2" t="s">
        <v>24</v>
      </c>
      <c r="AM32" s="2">
        <v>12</v>
      </c>
      <c r="AN32" s="10" t="str">
        <f t="shared" si="15"/>
        <v>JCR-ROS-1h-12</v>
      </c>
    </row>
    <row r="33" spans="1:40" x14ac:dyDescent="0.2">
      <c r="A33" s="39">
        <v>30</v>
      </c>
      <c r="B33" s="25" t="s">
        <v>6</v>
      </c>
      <c r="C33" s="4" t="s">
        <v>3</v>
      </c>
      <c r="D33" s="4" t="s">
        <v>4</v>
      </c>
      <c r="E33" s="4">
        <v>6</v>
      </c>
      <c r="F33" s="26" t="str">
        <f>_xlfn.CONCAT("LS","-",B33,"-",C33,"-",D33,"-",E33,"hr")</f>
        <v>LS-LOM-ROS-WET-6hr</v>
      </c>
      <c r="H33" s="4" t="str">
        <f t="shared" si="4"/>
        <v>LS-LOM-ROS-WET-6hr-d2H</v>
      </c>
      <c r="J33" s="25" t="s">
        <v>6</v>
      </c>
      <c r="K33" s="4" t="s">
        <v>5</v>
      </c>
      <c r="L33" s="4" t="s">
        <v>37</v>
      </c>
      <c r="M33" s="4">
        <v>3</v>
      </c>
      <c r="N33" s="26" t="str">
        <f t="shared" si="14"/>
        <v>CUE-LOM-SKY-0hr-3</v>
      </c>
      <c r="O33" s="57">
        <v>45782.5</v>
      </c>
      <c r="P33" s="57">
        <v>45782.5</v>
      </c>
      <c r="AB33" s="30" t="s">
        <v>6</v>
      </c>
      <c r="AC33" s="31" t="s">
        <v>5</v>
      </c>
      <c r="AD33" s="31" t="s">
        <v>32</v>
      </c>
      <c r="AE33" s="31">
        <v>3</v>
      </c>
      <c r="AF33" s="32" t="str">
        <f t="shared" si="1"/>
        <v>LOM-SKY-24hr-3</v>
      </c>
      <c r="AG33" s="65">
        <v>45778.527777777781</v>
      </c>
      <c r="AH33" s="65">
        <v>45779.527083333334</v>
      </c>
      <c r="AJ33" s="11" t="s">
        <v>2</v>
      </c>
      <c r="AK33" s="12" t="s">
        <v>3</v>
      </c>
      <c r="AL33" s="12" t="s">
        <v>24</v>
      </c>
      <c r="AM33" s="12">
        <v>15</v>
      </c>
      <c r="AN33" s="13" t="str">
        <f t="shared" si="15"/>
        <v>JCR-ROS-1h-15</v>
      </c>
    </row>
    <row r="34" spans="1:40" x14ac:dyDescent="0.2">
      <c r="A34" s="39">
        <v>31</v>
      </c>
      <c r="B34" s="25" t="s">
        <v>6</v>
      </c>
      <c r="C34" s="4" t="s">
        <v>3</v>
      </c>
      <c r="D34" s="4" t="s">
        <v>4</v>
      </c>
      <c r="E34" s="4">
        <v>24</v>
      </c>
      <c r="F34" s="26" t="str">
        <f t="shared" si="16"/>
        <v>LS-LOM-ROS-WET-24hr</v>
      </c>
      <c r="H34" s="4" t="str">
        <f t="shared" si="4"/>
        <v>LS-LOM-ROS-WET-24hr-d2H</v>
      </c>
      <c r="J34" s="25" t="s">
        <v>6</v>
      </c>
      <c r="K34" s="4" t="s">
        <v>5</v>
      </c>
      <c r="L34" s="4" t="s">
        <v>32</v>
      </c>
      <c r="M34" s="4">
        <v>1</v>
      </c>
      <c r="N34" s="26" t="str">
        <f t="shared" si="14"/>
        <v>CUE-LOM-SKY-24hr-1</v>
      </c>
      <c r="O34" s="57">
        <v>45782.5</v>
      </c>
      <c r="P34" s="57">
        <v>45783.5</v>
      </c>
      <c r="AB34" s="33" t="s">
        <v>6</v>
      </c>
      <c r="AC34" s="34" t="s">
        <v>3</v>
      </c>
      <c r="AD34" s="34" t="s">
        <v>38</v>
      </c>
      <c r="AE34" s="34">
        <v>1</v>
      </c>
      <c r="AF34" s="35" t="str">
        <f t="shared" si="1"/>
        <v>LOM-ROS-72hr-1</v>
      </c>
      <c r="AG34" s="62">
        <v>45777.496527777781</v>
      </c>
      <c r="AH34" s="62">
        <v>45780.513194444444</v>
      </c>
      <c r="AJ34" s="6" t="s">
        <v>2</v>
      </c>
      <c r="AK34" s="7" t="s">
        <v>5</v>
      </c>
      <c r="AL34" s="7" t="s">
        <v>24</v>
      </c>
      <c r="AM34" s="7">
        <v>1</v>
      </c>
      <c r="AN34" s="8" t="str">
        <f>_xlfn.CONCAT(AJ34,"-",AK34,"-",AL34,"-",AM34)</f>
        <v>JCR-SKY-1h-1</v>
      </c>
    </row>
    <row r="35" spans="1:40" x14ac:dyDescent="0.2">
      <c r="A35" s="39">
        <v>32</v>
      </c>
      <c r="B35" s="25" t="s">
        <v>6</v>
      </c>
      <c r="C35" s="4" t="s">
        <v>3</v>
      </c>
      <c r="D35" s="4" t="s">
        <v>4</v>
      </c>
      <c r="E35" s="4">
        <v>48</v>
      </c>
      <c r="F35" s="26" t="str">
        <f t="shared" si="16"/>
        <v>LS-LOM-ROS-WET-48hr</v>
      </c>
      <c r="H35" s="4" t="str">
        <f t="shared" si="4"/>
        <v>LS-LOM-ROS-WET-48hr-d2H</v>
      </c>
      <c r="J35" s="25" t="s">
        <v>6</v>
      </c>
      <c r="K35" s="4" t="s">
        <v>5</v>
      </c>
      <c r="L35" s="4" t="s">
        <v>32</v>
      </c>
      <c r="M35" s="4">
        <v>2</v>
      </c>
      <c r="N35" s="26" t="str">
        <f t="shared" si="14"/>
        <v>CUE-LOM-SKY-24hr-2</v>
      </c>
      <c r="O35" s="57">
        <v>45782.5</v>
      </c>
      <c r="P35" s="57">
        <v>45783.5</v>
      </c>
      <c r="AB35" s="36" t="s">
        <v>6</v>
      </c>
      <c r="AC35" s="37" t="s">
        <v>3</v>
      </c>
      <c r="AD35" s="37" t="s">
        <v>38</v>
      </c>
      <c r="AE35" s="37">
        <v>2</v>
      </c>
      <c r="AF35" s="38" t="str">
        <f t="shared" si="1"/>
        <v>LOM-ROS-72hr-2</v>
      </c>
      <c r="AG35" s="62">
        <v>45777.496527777781</v>
      </c>
      <c r="AH35" s="62">
        <v>45780.513194444444</v>
      </c>
      <c r="AJ35" s="9" t="s">
        <v>2</v>
      </c>
      <c r="AK35" s="2" t="s">
        <v>5</v>
      </c>
      <c r="AL35" s="2" t="s">
        <v>24</v>
      </c>
      <c r="AM35" s="2">
        <v>2</v>
      </c>
      <c r="AN35" s="10" t="str">
        <f t="shared" ref="AN35:AN39" si="17">_xlfn.CONCAT(AJ35,"-",AK35,"-",AL35,"-",AM35)</f>
        <v>JCR-SKY-1h-2</v>
      </c>
    </row>
    <row r="36" spans="1:40" x14ac:dyDescent="0.2">
      <c r="A36" s="39">
        <v>33</v>
      </c>
      <c r="B36" s="27" t="s">
        <v>6</v>
      </c>
      <c r="C36" s="28" t="s">
        <v>3</v>
      </c>
      <c r="D36" s="28" t="s">
        <v>4</v>
      </c>
      <c r="E36" s="28">
        <v>72</v>
      </c>
      <c r="F36" s="29" t="str">
        <f t="shared" si="16"/>
        <v>LS-LOM-ROS-WET-72hr</v>
      </c>
      <c r="H36" s="4" t="str">
        <f t="shared" si="4"/>
        <v>LS-LOM-ROS-WET-72hr-d2H</v>
      </c>
      <c r="J36" s="25" t="s">
        <v>6</v>
      </c>
      <c r="K36" s="4" t="s">
        <v>5</v>
      </c>
      <c r="L36" s="4" t="s">
        <v>32</v>
      </c>
      <c r="M36" s="4">
        <v>3</v>
      </c>
      <c r="N36" s="26" t="str">
        <f t="shared" si="14"/>
        <v>CUE-LOM-SKY-24hr-3</v>
      </c>
      <c r="O36" s="57">
        <v>45782.5</v>
      </c>
      <c r="P36" s="57">
        <v>45783.5</v>
      </c>
      <c r="AB36" s="30" t="s">
        <v>6</v>
      </c>
      <c r="AC36" s="31" t="s">
        <v>3</v>
      </c>
      <c r="AD36" s="31" t="s">
        <v>38</v>
      </c>
      <c r="AE36" s="31">
        <v>3</v>
      </c>
      <c r="AF36" s="32" t="str">
        <f t="shared" si="1"/>
        <v>LOM-ROS-72hr-3</v>
      </c>
      <c r="AG36" s="62">
        <v>45777.496527777781</v>
      </c>
      <c r="AH36" s="62">
        <v>45780.513194444444</v>
      </c>
      <c r="AJ36" s="9" t="s">
        <v>2</v>
      </c>
      <c r="AK36" s="2" t="s">
        <v>5</v>
      </c>
      <c r="AL36" s="2" t="s">
        <v>24</v>
      </c>
      <c r="AM36" s="2">
        <v>3</v>
      </c>
      <c r="AN36" s="10" t="str">
        <f t="shared" si="17"/>
        <v>JCR-SKY-1h-3</v>
      </c>
    </row>
    <row r="37" spans="1:40" x14ac:dyDescent="0.2">
      <c r="A37" s="39">
        <v>34</v>
      </c>
      <c r="B37" s="25" t="s">
        <v>6</v>
      </c>
      <c r="C37" s="4" t="s">
        <v>3</v>
      </c>
      <c r="D37" s="4" t="s">
        <v>21</v>
      </c>
      <c r="E37" s="4">
        <v>1</v>
      </c>
      <c r="F37" s="26" t="str">
        <f t="shared" si="16"/>
        <v>LS-LOM-ROS-VAPOR-1hr</v>
      </c>
      <c r="H37" s="4" t="str">
        <f t="shared" si="4"/>
        <v>LS-LOM-ROS-VAPOR-1hr-d2H</v>
      </c>
      <c r="J37" s="25" t="s">
        <v>6</v>
      </c>
      <c r="K37" s="4" t="s">
        <v>5</v>
      </c>
      <c r="L37" s="4" t="s">
        <v>38</v>
      </c>
      <c r="M37" s="4">
        <v>1</v>
      </c>
      <c r="N37" s="26" t="str">
        <f t="shared" si="14"/>
        <v>CUE-LOM-SKY-72hr-1</v>
      </c>
      <c r="O37" s="57">
        <v>45782.5</v>
      </c>
      <c r="P37" s="76"/>
      <c r="AB37" s="22" t="s">
        <v>6</v>
      </c>
      <c r="AC37" s="23" t="s">
        <v>5</v>
      </c>
      <c r="AD37" s="23" t="s">
        <v>38</v>
      </c>
      <c r="AE37" s="23">
        <v>1</v>
      </c>
      <c r="AF37" s="24" t="str">
        <f t="shared" si="1"/>
        <v>LOM-SKY-72hr-1</v>
      </c>
      <c r="AG37" s="62">
        <v>45777.496527777781</v>
      </c>
      <c r="AH37" s="62">
        <v>45780.513194444444</v>
      </c>
      <c r="AJ37" s="9" t="s">
        <v>2</v>
      </c>
      <c r="AK37" s="2" t="s">
        <v>5</v>
      </c>
      <c r="AL37" s="2" t="s">
        <v>24</v>
      </c>
      <c r="AM37" s="2">
        <v>8</v>
      </c>
      <c r="AN37" s="10" t="str">
        <f t="shared" si="17"/>
        <v>JCR-SKY-1h-8</v>
      </c>
    </row>
    <row r="38" spans="1:40" x14ac:dyDescent="0.2">
      <c r="A38" s="39">
        <v>35</v>
      </c>
      <c r="B38" s="25" t="s">
        <v>6</v>
      </c>
      <c r="C38" s="4" t="s">
        <v>3</v>
      </c>
      <c r="D38" s="4" t="s">
        <v>21</v>
      </c>
      <c r="E38" s="4">
        <v>3</v>
      </c>
      <c r="F38" s="26" t="str">
        <f t="shared" si="16"/>
        <v>LS-LOM-ROS-VAPOR-3hr</v>
      </c>
      <c r="H38" s="4" t="str">
        <f t="shared" si="4"/>
        <v>LS-LOM-ROS-VAPOR-3hr-d2H</v>
      </c>
      <c r="J38" s="25" t="s">
        <v>6</v>
      </c>
      <c r="K38" s="4" t="s">
        <v>5</v>
      </c>
      <c r="L38" s="4" t="s">
        <v>38</v>
      </c>
      <c r="M38" s="4">
        <v>2</v>
      </c>
      <c r="N38" s="26" t="str">
        <f t="shared" si="14"/>
        <v>CUE-LOM-SKY-72hr-2</v>
      </c>
      <c r="O38" s="57">
        <v>45782.5</v>
      </c>
      <c r="P38" s="76"/>
      <c r="AB38" s="25" t="s">
        <v>6</v>
      </c>
      <c r="AC38" s="4" t="s">
        <v>5</v>
      </c>
      <c r="AD38" s="4" t="s">
        <v>38</v>
      </c>
      <c r="AE38" s="4">
        <v>2</v>
      </c>
      <c r="AF38" s="26" t="str">
        <f t="shared" si="1"/>
        <v>LOM-SKY-72hr-2</v>
      </c>
      <c r="AG38" s="62">
        <v>45777.496527777781</v>
      </c>
      <c r="AH38" s="62">
        <v>45780.513194444444</v>
      </c>
      <c r="AJ38" s="9" t="s">
        <v>2</v>
      </c>
      <c r="AK38" s="2" t="s">
        <v>5</v>
      </c>
      <c r="AL38" s="2" t="s">
        <v>24</v>
      </c>
      <c r="AM38" s="2">
        <v>12</v>
      </c>
      <c r="AN38" s="10" t="str">
        <f t="shared" si="17"/>
        <v>JCR-SKY-1h-12</v>
      </c>
    </row>
    <row r="39" spans="1:40" x14ac:dyDescent="0.2">
      <c r="A39" s="39">
        <v>36</v>
      </c>
      <c r="B39" s="25" t="s">
        <v>6</v>
      </c>
      <c r="C39" s="4" t="s">
        <v>3</v>
      </c>
      <c r="D39" s="4" t="s">
        <v>21</v>
      </c>
      <c r="E39" s="4">
        <v>6</v>
      </c>
      <c r="F39" s="26" t="str">
        <f t="shared" si="16"/>
        <v>LS-LOM-ROS-VAPOR-6hr</v>
      </c>
      <c r="H39" s="4" t="str">
        <f t="shared" si="4"/>
        <v>LS-LOM-ROS-VAPOR-6hr-d2H</v>
      </c>
      <c r="J39" s="27" t="s">
        <v>6</v>
      </c>
      <c r="K39" s="28" t="s">
        <v>5</v>
      </c>
      <c r="L39" s="28" t="s">
        <v>38</v>
      </c>
      <c r="M39" s="28">
        <v>3</v>
      </c>
      <c r="N39" s="29" t="str">
        <f t="shared" si="14"/>
        <v>CUE-LOM-SKY-72hr-3</v>
      </c>
      <c r="O39" s="57">
        <v>45782.5</v>
      </c>
      <c r="P39" s="76"/>
      <c r="AB39" s="27" t="s">
        <v>6</v>
      </c>
      <c r="AC39" s="28" t="s">
        <v>5</v>
      </c>
      <c r="AD39" s="28" t="s">
        <v>38</v>
      </c>
      <c r="AE39" s="28">
        <v>3</v>
      </c>
      <c r="AF39" s="29" t="str">
        <f t="shared" si="1"/>
        <v>LOM-SKY-72hr-3</v>
      </c>
      <c r="AG39" s="62">
        <v>45777.496527777781</v>
      </c>
      <c r="AH39" s="62">
        <v>45780.513194444444</v>
      </c>
      <c r="AJ39" s="11" t="s">
        <v>2</v>
      </c>
      <c r="AK39" s="12" t="s">
        <v>5</v>
      </c>
      <c r="AL39" s="12" t="s">
        <v>24</v>
      </c>
      <c r="AM39" s="12">
        <v>15</v>
      </c>
      <c r="AN39" s="13" t="str">
        <f t="shared" si="17"/>
        <v>JCR-SKY-1h-15</v>
      </c>
    </row>
    <row r="40" spans="1:40" x14ac:dyDescent="0.2">
      <c r="A40" s="39">
        <v>37</v>
      </c>
      <c r="B40" s="25" t="s">
        <v>6</v>
      </c>
      <c r="C40" s="4" t="s">
        <v>3</v>
      </c>
      <c r="D40" s="4" t="s">
        <v>21</v>
      </c>
      <c r="E40" s="4">
        <v>24</v>
      </c>
      <c r="F40" s="26" t="str">
        <f t="shared" si="16"/>
        <v>LS-LOM-ROS-VAPOR-24hr</v>
      </c>
      <c r="H40" s="4" t="str">
        <f t="shared" si="4"/>
        <v>LS-LOM-ROS-VAPOR-24hr-d2H</v>
      </c>
      <c r="AJ40" s="6" t="s">
        <v>2</v>
      </c>
      <c r="AK40" s="7" t="s">
        <v>3</v>
      </c>
      <c r="AL40" s="7" t="s">
        <v>25</v>
      </c>
      <c r="AM40" s="7">
        <v>1</v>
      </c>
      <c r="AN40" s="8" t="str">
        <f>_xlfn.CONCAT(AJ40,"-",AK40,"-",AL40,"-",AM40)</f>
        <v>JCR-ROS-6h-1</v>
      </c>
    </row>
    <row r="41" spans="1:40" x14ac:dyDescent="0.2">
      <c r="A41" s="39">
        <v>38</v>
      </c>
      <c r="B41" s="25" t="s">
        <v>6</v>
      </c>
      <c r="C41" s="4" t="s">
        <v>3</v>
      </c>
      <c r="D41" s="4" t="s">
        <v>21</v>
      </c>
      <c r="E41" s="4">
        <v>48</v>
      </c>
      <c r="F41" s="26" t="str">
        <f t="shared" si="16"/>
        <v>LS-LOM-ROS-VAPOR-48hr</v>
      </c>
      <c r="H41" s="4" t="str">
        <f t="shared" si="4"/>
        <v>LS-LOM-ROS-VAPOR-48hr-d2H</v>
      </c>
      <c r="AJ41" s="9" t="s">
        <v>2</v>
      </c>
      <c r="AK41" s="2" t="s">
        <v>3</v>
      </c>
      <c r="AL41" s="2" t="s">
        <v>25</v>
      </c>
      <c r="AM41" s="2">
        <v>2</v>
      </c>
      <c r="AN41" s="10" t="str">
        <f t="shared" ref="AN41:AN45" si="18">_xlfn.CONCAT(AJ41,"-",AK41,"-",AL41,"-",AM41)</f>
        <v>JCR-ROS-6h-2</v>
      </c>
    </row>
    <row r="42" spans="1:40" x14ac:dyDescent="0.2">
      <c r="A42" s="39">
        <v>39</v>
      </c>
      <c r="B42" s="27" t="s">
        <v>6</v>
      </c>
      <c r="C42" s="28" t="s">
        <v>3</v>
      </c>
      <c r="D42" s="28" t="s">
        <v>21</v>
      </c>
      <c r="E42" s="28">
        <v>72</v>
      </c>
      <c r="F42" s="29" t="str">
        <f t="shared" si="16"/>
        <v>LS-LOM-ROS-VAPOR-72hr</v>
      </c>
      <c r="H42" s="4" t="str">
        <f t="shared" si="4"/>
        <v>LS-LOM-ROS-VAPOR-72hr-d2H</v>
      </c>
      <c r="AJ42" s="9" t="s">
        <v>2</v>
      </c>
      <c r="AK42" s="2" t="s">
        <v>3</v>
      </c>
      <c r="AL42" s="2" t="s">
        <v>25</v>
      </c>
      <c r="AM42" s="2">
        <v>3</v>
      </c>
      <c r="AN42" s="10" t="str">
        <f t="shared" si="18"/>
        <v>JCR-ROS-6h-3</v>
      </c>
    </row>
    <row r="43" spans="1:40" x14ac:dyDescent="0.2">
      <c r="A43" s="39">
        <v>40</v>
      </c>
      <c r="B43" s="22" t="s">
        <v>6</v>
      </c>
      <c r="C43" s="23" t="s">
        <v>5</v>
      </c>
      <c r="D43" s="23" t="s">
        <v>4</v>
      </c>
      <c r="E43" s="23">
        <v>0</v>
      </c>
      <c r="F43" s="24" t="str">
        <f t="shared" si="16"/>
        <v>LS-LOM-SKY-WET-0hr</v>
      </c>
      <c r="H43" s="4" t="s">
        <v>35</v>
      </c>
      <c r="AJ43" s="9" t="s">
        <v>2</v>
      </c>
      <c r="AK43" s="2" t="s">
        <v>3</v>
      </c>
      <c r="AL43" s="2" t="s">
        <v>25</v>
      </c>
      <c r="AM43" s="2">
        <v>8</v>
      </c>
      <c r="AN43" s="10" t="str">
        <f t="shared" si="18"/>
        <v>JCR-ROS-6h-8</v>
      </c>
    </row>
    <row r="44" spans="1:40" x14ac:dyDescent="0.2">
      <c r="A44" s="39">
        <v>41</v>
      </c>
      <c r="B44" s="25" t="s">
        <v>6</v>
      </c>
      <c r="C44" s="4" t="s">
        <v>5</v>
      </c>
      <c r="D44" s="4" t="s">
        <v>4</v>
      </c>
      <c r="E44" s="4">
        <v>1</v>
      </c>
      <c r="F44" s="26" t="str">
        <f t="shared" si="16"/>
        <v>LS-LOM-SKY-WET-1hr</v>
      </c>
      <c r="H44" s="4" t="str">
        <f t="shared" si="4"/>
        <v>LS-LOM-SKY-WET-1hr-d2H</v>
      </c>
      <c r="AJ44" s="9" t="s">
        <v>2</v>
      </c>
      <c r="AK44" s="2" t="s">
        <v>3</v>
      </c>
      <c r="AL44" s="2" t="s">
        <v>25</v>
      </c>
      <c r="AM44" s="2">
        <v>12</v>
      </c>
      <c r="AN44" s="10" t="str">
        <f t="shared" si="18"/>
        <v>JCR-ROS-6h-12</v>
      </c>
    </row>
    <row r="45" spans="1:40" x14ac:dyDescent="0.2">
      <c r="A45" s="39">
        <v>42</v>
      </c>
      <c r="B45" s="25" t="s">
        <v>6</v>
      </c>
      <c r="C45" s="4" t="s">
        <v>5</v>
      </c>
      <c r="D45" s="4" t="s">
        <v>4</v>
      </c>
      <c r="E45" s="4">
        <v>3</v>
      </c>
      <c r="F45" s="26" t="str">
        <f t="shared" si="16"/>
        <v>LS-LOM-SKY-WET-3hr</v>
      </c>
      <c r="H45" s="4" t="str">
        <f t="shared" si="4"/>
        <v>LS-LOM-SKY-WET-3hr-d2H</v>
      </c>
      <c r="AJ45" s="11" t="s">
        <v>2</v>
      </c>
      <c r="AK45" s="12" t="s">
        <v>3</v>
      </c>
      <c r="AL45" s="12" t="s">
        <v>25</v>
      </c>
      <c r="AM45" s="12">
        <v>15</v>
      </c>
      <c r="AN45" s="13" t="str">
        <f t="shared" si="18"/>
        <v>JCR-ROS-6h-15</v>
      </c>
    </row>
    <row r="46" spans="1:40" x14ac:dyDescent="0.2">
      <c r="A46" s="39">
        <v>43</v>
      </c>
      <c r="B46" s="25" t="s">
        <v>6</v>
      </c>
      <c r="C46" s="4" t="s">
        <v>5</v>
      </c>
      <c r="D46" s="4" t="s">
        <v>4</v>
      </c>
      <c r="E46" s="4">
        <v>6</v>
      </c>
      <c r="F46" s="26" t="str">
        <f t="shared" si="16"/>
        <v>LS-LOM-SKY-WET-6hr</v>
      </c>
      <c r="H46" s="4" t="str">
        <f t="shared" si="4"/>
        <v>LS-LOM-SKY-WET-6hr-d2H</v>
      </c>
      <c r="AJ46" s="6" t="s">
        <v>2</v>
      </c>
      <c r="AK46" s="7" t="s">
        <v>5</v>
      </c>
      <c r="AL46" s="7" t="s">
        <v>25</v>
      </c>
      <c r="AM46" s="7">
        <v>1</v>
      </c>
      <c r="AN46" s="8" t="str">
        <f>_xlfn.CONCAT(AJ46,"-",AK46,"-",AL46,"-",AM46)</f>
        <v>JCR-SKY-6h-1</v>
      </c>
    </row>
    <row r="47" spans="1:40" x14ac:dyDescent="0.2">
      <c r="A47" s="39">
        <v>44</v>
      </c>
      <c r="B47" s="25" t="s">
        <v>6</v>
      </c>
      <c r="C47" s="4" t="s">
        <v>5</v>
      </c>
      <c r="D47" s="4" t="s">
        <v>4</v>
      </c>
      <c r="E47" s="4">
        <v>24</v>
      </c>
      <c r="F47" s="26" t="str">
        <f t="shared" si="16"/>
        <v>LS-LOM-SKY-WET-24hr</v>
      </c>
      <c r="H47" s="4" t="str">
        <f t="shared" si="4"/>
        <v>LS-LOM-SKY-WET-24hr-d2H</v>
      </c>
      <c r="AJ47" s="9" t="s">
        <v>2</v>
      </c>
      <c r="AK47" s="2" t="s">
        <v>5</v>
      </c>
      <c r="AL47" s="2" t="s">
        <v>25</v>
      </c>
      <c r="AM47" s="2">
        <v>2</v>
      </c>
      <c r="AN47" s="10" t="str">
        <f t="shared" ref="AN47:AN51" si="19">_xlfn.CONCAT(AJ47,"-",AK47,"-",AL47,"-",AM47)</f>
        <v>JCR-SKY-6h-2</v>
      </c>
    </row>
    <row r="48" spans="1:40" x14ac:dyDescent="0.2">
      <c r="A48" s="39">
        <v>45</v>
      </c>
      <c r="B48" s="25" t="s">
        <v>6</v>
      </c>
      <c r="C48" s="4" t="s">
        <v>5</v>
      </c>
      <c r="D48" s="4" t="s">
        <v>4</v>
      </c>
      <c r="E48" s="4">
        <v>48</v>
      </c>
      <c r="F48" s="26" t="str">
        <f t="shared" si="16"/>
        <v>LS-LOM-SKY-WET-48hr</v>
      </c>
      <c r="H48" s="4" t="str">
        <f t="shared" si="4"/>
        <v>LS-LOM-SKY-WET-48hr-d2H</v>
      </c>
      <c r="AJ48" s="9" t="s">
        <v>2</v>
      </c>
      <c r="AK48" s="2" t="s">
        <v>5</v>
      </c>
      <c r="AL48" s="2" t="s">
        <v>25</v>
      </c>
      <c r="AM48" s="2">
        <v>3</v>
      </c>
      <c r="AN48" s="10" t="str">
        <f t="shared" si="19"/>
        <v>JCR-SKY-6h-3</v>
      </c>
    </row>
    <row r="49" spans="1:40" x14ac:dyDescent="0.2">
      <c r="A49" s="39">
        <v>46</v>
      </c>
      <c r="B49" s="27" t="s">
        <v>6</v>
      </c>
      <c r="C49" s="28" t="s">
        <v>5</v>
      </c>
      <c r="D49" s="28" t="s">
        <v>4</v>
      </c>
      <c r="E49" s="28">
        <v>72</v>
      </c>
      <c r="F49" s="29" t="str">
        <f t="shared" si="16"/>
        <v>LS-LOM-SKY-WET-72hr</v>
      </c>
      <c r="H49" s="4" t="str">
        <f t="shared" si="4"/>
        <v>LS-LOM-SKY-WET-72hr-d2H</v>
      </c>
      <c r="AJ49" s="9" t="s">
        <v>2</v>
      </c>
      <c r="AK49" s="2" t="s">
        <v>5</v>
      </c>
      <c r="AL49" s="2" t="s">
        <v>25</v>
      </c>
      <c r="AM49" s="2">
        <v>8</v>
      </c>
      <c r="AN49" s="10" t="str">
        <f t="shared" si="19"/>
        <v>JCR-SKY-6h-8</v>
      </c>
    </row>
    <row r="50" spans="1:40" x14ac:dyDescent="0.2">
      <c r="A50" s="39">
        <v>47</v>
      </c>
      <c r="B50" s="25" t="s">
        <v>6</v>
      </c>
      <c r="C50" s="4" t="s">
        <v>5</v>
      </c>
      <c r="D50" s="4" t="s">
        <v>21</v>
      </c>
      <c r="E50" s="4">
        <v>1</v>
      </c>
      <c r="F50" s="26" t="str">
        <f t="shared" si="16"/>
        <v>LS-LOM-SKY-VAPOR-1hr</v>
      </c>
      <c r="H50" s="4" t="str">
        <f t="shared" si="4"/>
        <v>LS-LOM-SKY-VAPOR-1hr-d2H</v>
      </c>
      <c r="AJ50" s="9" t="s">
        <v>2</v>
      </c>
      <c r="AK50" s="2" t="s">
        <v>5</v>
      </c>
      <c r="AL50" s="2" t="s">
        <v>25</v>
      </c>
      <c r="AM50" s="2">
        <v>12</v>
      </c>
      <c r="AN50" s="10" t="str">
        <f t="shared" si="19"/>
        <v>JCR-SKY-6h-12</v>
      </c>
    </row>
    <row r="51" spans="1:40" x14ac:dyDescent="0.2">
      <c r="A51" s="39">
        <v>48</v>
      </c>
      <c r="B51" s="25" t="s">
        <v>6</v>
      </c>
      <c r="C51" s="4" t="s">
        <v>5</v>
      </c>
      <c r="D51" s="4" t="s">
        <v>21</v>
      </c>
      <c r="E51" s="4">
        <v>3</v>
      </c>
      <c r="F51" s="26" t="str">
        <f t="shared" si="16"/>
        <v>LS-LOM-SKY-VAPOR-3hr</v>
      </c>
      <c r="H51" s="4" t="str">
        <f t="shared" si="4"/>
        <v>LS-LOM-SKY-VAPOR-3hr-d2H</v>
      </c>
      <c r="AJ51" s="11" t="s">
        <v>2</v>
      </c>
      <c r="AK51" s="12" t="s">
        <v>5</v>
      </c>
      <c r="AL51" s="12" t="s">
        <v>25</v>
      </c>
      <c r="AM51" s="12">
        <v>15</v>
      </c>
      <c r="AN51" s="13" t="str">
        <f t="shared" si="19"/>
        <v>JCR-SKY-6h-15</v>
      </c>
    </row>
    <row r="52" spans="1:40" x14ac:dyDescent="0.2">
      <c r="A52" s="39">
        <v>49</v>
      </c>
      <c r="B52" s="25" t="s">
        <v>6</v>
      </c>
      <c r="C52" s="4" t="s">
        <v>5</v>
      </c>
      <c r="D52" s="4" t="s">
        <v>21</v>
      </c>
      <c r="E52" s="4">
        <v>6</v>
      </c>
      <c r="F52" s="26" t="str">
        <f t="shared" si="16"/>
        <v>LS-LOM-SKY-VAPOR-6hr</v>
      </c>
      <c r="H52" s="4" t="str">
        <f t="shared" si="4"/>
        <v>LS-LOM-SKY-VAPOR-6hr-d2H</v>
      </c>
      <c r="AJ52" s="6" t="s">
        <v>2</v>
      </c>
      <c r="AK52" s="7" t="s">
        <v>3</v>
      </c>
      <c r="AL52" s="7" t="s">
        <v>26</v>
      </c>
      <c r="AM52" s="7">
        <v>1</v>
      </c>
      <c r="AN52" s="8" t="str">
        <f>_xlfn.CONCAT(AJ52,"-",AK52,"-",AL52,"-",AM52)</f>
        <v>JCR-ROS-24h-1</v>
      </c>
    </row>
    <row r="53" spans="1:40" x14ac:dyDescent="0.2">
      <c r="A53" s="39">
        <v>50</v>
      </c>
      <c r="B53" s="25" t="s">
        <v>6</v>
      </c>
      <c r="C53" s="4" t="s">
        <v>5</v>
      </c>
      <c r="D53" s="4" t="s">
        <v>21</v>
      </c>
      <c r="E53" s="4">
        <v>24</v>
      </c>
      <c r="F53" s="26" t="str">
        <f t="shared" si="16"/>
        <v>LS-LOM-SKY-VAPOR-24hr</v>
      </c>
      <c r="H53" s="4" t="str">
        <f t="shared" si="4"/>
        <v>LS-LOM-SKY-VAPOR-24hr-d2H</v>
      </c>
      <c r="AJ53" s="9" t="s">
        <v>2</v>
      </c>
      <c r="AK53" s="2" t="s">
        <v>3</v>
      </c>
      <c r="AL53" s="2" t="s">
        <v>26</v>
      </c>
      <c r="AM53" s="2">
        <v>2</v>
      </c>
      <c r="AN53" s="10" t="str">
        <f t="shared" ref="AN53:AN57" si="20">_xlfn.CONCAT(AJ53,"-",AK53,"-",AL53,"-",AM53)</f>
        <v>JCR-ROS-24h-2</v>
      </c>
    </row>
    <row r="54" spans="1:40" x14ac:dyDescent="0.2">
      <c r="A54" s="39">
        <v>51</v>
      </c>
      <c r="B54" s="25" t="s">
        <v>6</v>
      </c>
      <c r="C54" s="4" t="s">
        <v>5</v>
      </c>
      <c r="D54" s="4" t="s">
        <v>21</v>
      </c>
      <c r="E54" s="4">
        <v>48</v>
      </c>
      <c r="F54" s="26" t="str">
        <f t="shared" si="16"/>
        <v>LS-LOM-SKY-VAPOR-48hr</v>
      </c>
      <c r="H54" s="4" t="str">
        <f t="shared" si="4"/>
        <v>LS-LOM-SKY-VAPOR-48hr-d2H</v>
      </c>
      <c r="AJ54" s="9" t="s">
        <v>2</v>
      </c>
      <c r="AK54" s="2" t="s">
        <v>3</v>
      </c>
      <c r="AL54" s="2" t="s">
        <v>26</v>
      </c>
      <c r="AM54" s="2">
        <v>3</v>
      </c>
      <c r="AN54" s="10" t="str">
        <f t="shared" si="20"/>
        <v>JCR-ROS-24h-3</v>
      </c>
    </row>
    <row r="55" spans="1:40" x14ac:dyDescent="0.2">
      <c r="A55" s="39">
        <v>52</v>
      </c>
      <c r="B55" s="27" t="s">
        <v>6</v>
      </c>
      <c r="C55" s="28" t="s">
        <v>5</v>
      </c>
      <c r="D55" s="28" t="s">
        <v>21</v>
      </c>
      <c r="E55" s="28">
        <v>72</v>
      </c>
      <c r="F55" s="29" t="str">
        <f t="shared" si="16"/>
        <v>LS-LOM-SKY-VAPOR-72hr</v>
      </c>
      <c r="H55" s="4" t="str">
        <f t="shared" si="4"/>
        <v>LS-LOM-SKY-VAPOR-72hr-d2H</v>
      </c>
      <c r="AJ55" s="9" t="s">
        <v>2</v>
      </c>
      <c r="AK55" s="2" t="s">
        <v>3</v>
      </c>
      <c r="AL55" s="2" t="s">
        <v>26</v>
      </c>
      <c r="AM55" s="2">
        <v>8</v>
      </c>
      <c r="AN55" s="10" t="str">
        <f t="shared" si="20"/>
        <v>JCR-ROS-24h-8</v>
      </c>
    </row>
    <row r="56" spans="1:40" x14ac:dyDescent="0.2">
      <c r="A56" s="39">
        <v>53</v>
      </c>
      <c r="AJ56" s="9" t="s">
        <v>2</v>
      </c>
      <c r="AK56" s="2" t="s">
        <v>3</v>
      </c>
      <c r="AL56" s="2" t="s">
        <v>26</v>
      </c>
      <c r="AM56" s="2">
        <v>12</v>
      </c>
      <c r="AN56" s="10" t="str">
        <f t="shared" si="20"/>
        <v>JCR-ROS-24h-12</v>
      </c>
    </row>
    <row r="57" spans="1:40" x14ac:dyDescent="0.2">
      <c r="A57" s="39">
        <v>54</v>
      </c>
      <c r="AJ57" s="11" t="s">
        <v>2</v>
      </c>
      <c r="AK57" s="12" t="s">
        <v>3</v>
      </c>
      <c r="AL57" s="12" t="s">
        <v>26</v>
      </c>
      <c r="AM57" s="12">
        <v>15</v>
      </c>
      <c r="AN57" s="13" t="str">
        <f t="shared" si="20"/>
        <v>JCR-ROS-24h-15</v>
      </c>
    </row>
    <row r="58" spans="1:40" x14ac:dyDescent="0.2">
      <c r="A58" s="39">
        <v>55</v>
      </c>
      <c r="AJ58" s="6" t="s">
        <v>2</v>
      </c>
      <c r="AK58" s="7" t="s">
        <v>5</v>
      </c>
      <c r="AL58" s="7" t="s">
        <v>26</v>
      </c>
      <c r="AM58" s="7">
        <v>1</v>
      </c>
      <c r="AN58" s="8" t="str">
        <f>_xlfn.CONCAT(AJ58,"-",AK58,"-",AL58,"-",AM58)</f>
        <v>JCR-SKY-24h-1</v>
      </c>
    </row>
    <row r="59" spans="1:40" x14ac:dyDescent="0.2">
      <c r="A59" s="39">
        <v>56</v>
      </c>
      <c r="AJ59" s="9" t="s">
        <v>2</v>
      </c>
      <c r="AK59" s="2" t="s">
        <v>5</v>
      </c>
      <c r="AL59" s="2" t="s">
        <v>26</v>
      </c>
      <c r="AM59" s="2">
        <v>2</v>
      </c>
      <c r="AN59" s="10" t="str">
        <f t="shared" ref="AN59:AN63" si="21">_xlfn.CONCAT(AJ59,"-",AK59,"-",AL59,"-",AM59)</f>
        <v>JCR-SKY-24h-2</v>
      </c>
    </row>
    <row r="60" spans="1:40" x14ac:dyDescent="0.2">
      <c r="A60" s="39">
        <v>57</v>
      </c>
      <c r="AJ60" s="9" t="s">
        <v>2</v>
      </c>
      <c r="AK60" s="2" t="s">
        <v>5</v>
      </c>
      <c r="AL60" s="2" t="s">
        <v>26</v>
      </c>
      <c r="AM60" s="2">
        <v>3</v>
      </c>
      <c r="AN60" s="10" t="str">
        <f t="shared" si="21"/>
        <v>JCR-SKY-24h-3</v>
      </c>
    </row>
    <row r="61" spans="1:40" x14ac:dyDescent="0.2">
      <c r="A61" s="39">
        <v>58</v>
      </c>
      <c r="AJ61" s="9" t="s">
        <v>2</v>
      </c>
      <c r="AK61" s="2" t="s">
        <v>5</v>
      </c>
      <c r="AL61" s="2" t="s">
        <v>26</v>
      </c>
      <c r="AM61" s="2">
        <v>8</v>
      </c>
      <c r="AN61" s="10" t="str">
        <f t="shared" si="21"/>
        <v>JCR-SKY-24h-8</v>
      </c>
    </row>
    <row r="62" spans="1:40" x14ac:dyDescent="0.2">
      <c r="A62" s="39">
        <v>59</v>
      </c>
      <c r="AJ62" s="9" t="s">
        <v>2</v>
      </c>
      <c r="AK62" s="2" t="s">
        <v>5</v>
      </c>
      <c r="AL62" s="2" t="s">
        <v>26</v>
      </c>
      <c r="AM62" s="2">
        <v>12</v>
      </c>
      <c r="AN62" s="10" t="str">
        <f t="shared" si="21"/>
        <v>JCR-SKY-24h-12</v>
      </c>
    </row>
    <row r="63" spans="1:40" x14ac:dyDescent="0.2">
      <c r="A63" s="39">
        <v>60</v>
      </c>
      <c r="AJ63" s="11" t="s">
        <v>2</v>
      </c>
      <c r="AK63" s="12" t="s">
        <v>5</v>
      </c>
      <c r="AL63" s="12" t="s">
        <v>26</v>
      </c>
      <c r="AM63" s="12">
        <v>15</v>
      </c>
      <c r="AN63" s="13" t="str">
        <f t="shared" si="21"/>
        <v>JCR-SKY-24h-15</v>
      </c>
    </row>
    <row r="64" spans="1:40" x14ac:dyDescent="0.2">
      <c r="A64" s="39">
        <v>61</v>
      </c>
      <c r="AJ64" s="6" t="s">
        <v>2</v>
      </c>
      <c r="AK64" s="7" t="s">
        <v>3</v>
      </c>
      <c r="AL64" s="7" t="s">
        <v>27</v>
      </c>
      <c r="AM64" s="7">
        <v>1</v>
      </c>
      <c r="AN64" s="8" t="str">
        <f>_xlfn.CONCAT(AJ64,"-",AK64,"-",AL64,"-",AM64)</f>
        <v>JCR-ROS-48h-1</v>
      </c>
    </row>
    <row r="65" spans="1:40" x14ac:dyDescent="0.2">
      <c r="A65" s="39">
        <v>62</v>
      </c>
      <c r="AJ65" s="9" t="s">
        <v>2</v>
      </c>
      <c r="AK65" s="2" t="s">
        <v>3</v>
      </c>
      <c r="AL65" s="2" t="s">
        <v>27</v>
      </c>
      <c r="AM65" s="2">
        <v>2</v>
      </c>
      <c r="AN65" s="10" t="str">
        <f t="shared" ref="AN65:AN69" si="22">_xlfn.CONCAT(AJ65,"-",AK65,"-",AL65,"-",AM65)</f>
        <v>JCR-ROS-48h-2</v>
      </c>
    </row>
    <row r="66" spans="1:40" x14ac:dyDescent="0.2">
      <c r="A66" s="39">
        <v>63</v>
      </c>
      <c r="AJ66" s="9" t="s">
        <v>2</v>
      </c>
      <c r="AK66" s="2" t="s">
        <v>3</v>
      </c>
      <c r="AL66" s="2" t="s">
        <v>27</v>
      </c>
      <c r="AM66" s="2">
        <v>3</v>
      </c>
      <c r="AN66" s="10" t="str">
        <f t="shared" si="22"/>
        <v>JCR-ROS-48h-3</v>
      </c>
    </row>
    <row r="67" spans="1:40" x14ac:dyDescent="0.2">
      <c r="A67" s="39">
        <v>64</v>
      </c>
      <c r="AJ67" s="9" t="s">
        <v>2</v>
      </c>
      <c r="AK67" s="2" t="s">
        <v>3</v>
      </c>
      <c r="AL67" s="2" t="s">
        <v>27</v>
      </c>
      <c r="AM67" s="2">
        <v>8</v>
      </c>
      <c r="AN67" s="10" t="str">
        <f t="shared" si="22"/>
        <v>JCR-ROS-48h-8</v>
      </c>
    </row>
    <row r="68" spans="1:40" x14ac:dyDescent="0.2">
      <c r="A68" s="39">
        <v>65</v>
      </c>
      <c r="AJ68" s="9" t="s">
        <v>2</v>
      </c>
      <c r="AK68" s="2" t="s">
        <v>3</v>
      </c>
      <c r="AL68" s="2" t="s">
        <v>27</v>
      </c>
      <c r="AM68" s="2">
        <v>12</v>
      </c>
      <c r="AN68" s="10" t="str">
        <f t="shared" si="22"/>
        <v>JCR-ROS-48h-12</v>
      </c>
    </row>
    <row r="69" spans="1:40" x14ac:dyDescent="0.2">
      <c r="A69" s="39">
        <v>66</v>
      </c>
      <c r="AJ69" s="11" t="s">
        <v>2</v>
      </c>
      <c r="AK69" s="12" t="s">
        <v>3</v>
      </c>
      <c r="AL69" s="12" t="s">
        <v>27</v>
      </c>
      <c r="AM69" s="12">
        <v>15</v>
      </c>
      <c r="AN69" s="13" t="str">
        <f t="shared" si="22"/>
        <v>JCR-ROS-48h-15</v>
      </c>
    </row>
    <row r="70" spans="1:40" x14ac:dyDescent="0.2">
      <c r="A70" s="39">
        <v>67</v>
      </c>
      <c r="AJ70" s="6" t="s">
        <v>2</v>
      </c>
      <c r="AK70" s="7" t="s">
        <v>5</v>
      </c>
      <c r="AL70" s="7" t="s">
        <v>27</v>
      </c>
      <c r="AM70" s="7">
        <v>1</v>
      </c>
      <c r="AN70" s="8" t="str">
        <f>_xlfn.CONCAT(AJ70,"-",AK70,"-",AL70,"-",AM70)</f>
        <v>JCR-SKY-48h-1</v>
      </c>
    </row>
    <row r="71" spans="1:40" x14ac:dyDescent="0.2">
      <c r="A71" s="39">
        <v>68</v>
      </c>
      <c r="AJ71" s="9" t="s">
        <v>2</v>
      </c>
      <c r="AK71" s="2" t="s">
        <v>5</v>
      </c>
      <c r="AL71" s="2" t="s">
        <v>27</v>
      </c>
      <c r="AM71" s="2">
        <v>2</v>
      </c>
      <c r="AN71" s="10" t="str">
        <f t="shared" ref="AN71:AN76" si="23">_xlfn.CONCAT(AJ71,"-",AK71,"-",AL71,"-",AM71)</f>
        <v>JCR-SKY-48h-2</v>
      </c>
    </row>
    <row r="72" spans="1:40" x14ac:dyDescent="0.2">
      <c r="A72" s="39">
        <v>69</v>
      </c>
      <c r="AJ72" s="9" t="s">
        <v>2</v>
      </c>
      <c r="AK72" s="2" t="s">
        <v>5</v>
      </c>
      <c r="AL72" s="2" t="s">
        <v>27</v>
      </c>
      <c r="AM72" s="2">
        <v>3</v>
      </c>
      <c r="AN72" s="10" t="str">
        <f t="shared" si="23"/>
        <v>JCR-SKY-48h-3</v>
      </c>
    </row>
    <row r="73" spans="1:40" x14ac:dyDescent="0.2">
      <c r="A73" s="39">
        <v>70</v>
      </c>
      <c r="AJ73" s="9" t="s">
        <v>2</v>
      </c>
      <c r="AK73" s="2" t="s">
        <v>5</v>
      </c>
      <c r="AL73" s="2" t="s">
        <v>27</v>
      </c>
      <c r="AM73" s="2">
        <v>8</v>
      </c>
      <c r="AN73" s="10" t="str">
        <f t="shared" si="23"/>
        <v>JCR-SKY-48h-8</v>
      </c>
    </row>
    <row r="74" spans="1:40" x14ac:dyDescent="0.2">
      <c r="A74" s="39">
        <v>71</v>
      </c>
      <c r="AJ74" s="9" t="s">
        <v>2</v>
      </c>
      <c r="AK74" s="2" t="s">
        <v>5</v>
      </c>
      <c r="AL74" s="2" t="s">
        <v>27</v>
      </c>
      <c r="AM74" s="2">
        <v>12</v>
      </c>
      <c r="AN74" s="10" t="str">
        <f t="shared" si="23"/>
        <v>JCR-SKY-48h-12</v>
      </c>
    </row>
    <row r="75" spans="1:40" x14ac:dyDescent="0.2">
      <c r="A75" s="39">
        <v>72</v>
      </c>
      <c r="AJ75" s="11" t="s">
        <v>2</v>
      </c>
      <c r="AK75" s="12" t="s">
        <v>5</v>
      </c>
      <c r="AL75" s="12" t="s">
        <v>27</v>
      </c>
      <c r="AM75" s="12">
        <v>15</v>
      </c>
      <c r="AN75" s="13" t="str">
        <f t="shared" si="23"/>
        <v>JCR-SKY-48h-15</v>
      </c>
    </row>
    <row r="76" spans="1:40" x14ac:dyDescent="0.2">
      <c r="A76" s="39">
        <v>73</v>
      </c>
      <c r="AJ76" s="9" t="s">
        <v>2</v>
      </c>
      <c r="AK76" s="2" t="s">
        <v>29</v>
      </c>
      <c r="AL76" s="2"/>
      <c r="AM76" s="2" t="s">
        <v>30</v>
      </c>
      <c r="AN76" s="10" t="str">
        <f t="shared" si="23"/>
        <v>JCR-BLANK--A</v>
      </c>
    </row>
    <row r="77" spans="1:40" x14ac:dyDescent="0.2">
      <c r="A77" s="39">
        <v>74</v>
      </c>
      <c r="AJ77" s="9" t="s">
        <v>2</v>
      </c>
      <c r="AK77" s="2" t="s">
        <v>29</v>
      </c>
      <c r="AL77" s="2"/>
      <c r="AM77" s="2" t="s">
        <v>31</v>
      </c>
      <c r="AN77" s="10" t="str">
        <f t="shared" ref="AN77:AN78" si="24">_xlfn.CONCAT(AJ77,"-",AK77,"-",AL77,"-",AM77)</f>
        <v>JCR-BLANK--B</v>
      </c>
    </row>
    <row r="78" spans="1:40" x14ac:dyDescent="0.2">
      <c r="A78" s="39">
        <v>75</v>
      </c>
      <c r="AJ78" s="6" t="s">
        <v>2</v>
      </c>
      <c r="AK78" s="7" t="s">
        <v>43</v>
      </c>
      <c r="AL78" s="7"/>
      <c r="AM78" s="7" t="s">
        <v>30</v>
      </c>
      <c r="AN78" s="8" t="str">
        <f t="shared" si="24"/>
        <v>JCR-AMBIENT--A</v>
      </c>
    </row>
    <row r="79" spans="1:40" x14ac:dyDescent="0.2">
      <c r="A79" s="39">
        <v>76</v>
      </c>
      <c r="AJ79" s="11" t="s">
        <v>2</v>
      </c>
      <c r="AK79" s="12" t="s">
        <v>43</v>
      </c>
      <c r="AL79" s="12"/>
      <c r="AM79" s="12" t="s">
        <v>31</v>
      </c>
      <c r="AN79" s="13" t="str">
        <f t="shared" ref="AN79" si="25">_xlfn.CONCAT(AJ79,"-",AK79,"-",AL79,"-",AM79)</f>
        <v>JCR-AMBIENT--B</v>
      </c>
    </row>
    <row r="80" spans="1:40" x14ac:dyDescent="0.2">
      <c r="A80" s="39">
        <v>77</v>
      </c>
      <c r="AJ80" s="14" t="s">
        <v>7</v>
      </c>
      <c r="AK80" s="15" t="s">
        <v>3</v>
      </c>
      <c r="AL80" s="15" t="s">
        <v>23</v>
      </c>
      <c r="AM80" s="15">
        <v>1</v>
      </c>
      <c r="AN80" s="16" t="str">
        <f>_xlfn.CONCAT(AJ80,"-",AK80,"-",AL80,"-",AM80)</f>
        <v>PAL-ROS-pre-1</v>
      </c>
    </row>
    <row r="81" spans="1:40" x14ac:dyDescent="0.2">
      <c r="A81" s="39">
        <v>78</v>
      </c>
      <c r="AJ81" s="17" t="s">
        <v>7</v>
      </c>
      <c r="AK81" s="3" t="s">
        <v>3</v>
      </c>
      <c r="AL81" s="3" t="s">
        <v>23</v>
      </c>
      <c r="AM81" s="3">
        <v>2</v>
      </c>
      <c r="AN81" s="18" t="str">
        <f t="shared" ref="AN81:AN85" si="26">_xlfn.CONCAT(AJ81,"-",AK81,"-",AL81,"-",AM81)</f>
        <v>PAL-ROS-pre-2</v>
      </c>
    </row>
    <row r="82" spans="1:40" x14ac:dyDescent="0.2">
      <c r="A82" s="39">
        <v>79</v>
      </c>
      <c r="AJ82" s="17" t="s">
        <v>7</v>
      </c>
      <c r="AK82" s="3" t="s">
        <v>3</v>
      </c>
      <c r="AL82" s="3" t="s">
        <v>23</v>
      </c>
      <c r="AM82" s="3">
        <v>3</v>
      </c>
      <c r="AN82" s="18" t="str">
        <f t="shared" si="26"/>
        <v>PAL-ROS-pre-3</v>
      </c>
    </row>
    <row r="83" spans="1:40" x14ac:dyDescent="0.2">
      <c r="A83" s="39">
        <v>80</v>
      </c>
      <c r="AJ83" s="17" t="s">
        <v>7</v>
      </c>
      <c r="AK83" s="3" t="s">
        <v>3</v>
      </c>
      <c r="AL83" s="3" t="s">
        <v>23</v>
      </c>
      <c r="AM83" s="3">
        <v>8</v>
      </c>
      <c r="AN83" s="18" t="str">
        <f t="shared" si="26"/>
        <v>PAL-ROS-pre-8</v>
      </c>
    </row>
    <row r="84" spans="1:40" x14ac:dyDescent="0.2">
      <c r="A84" s="39">
        <v>81</v>
      </c>
      <c r="AJ84" s="17" t="s">
        <v>7</v>
      </c>
      <c r="AK84" s="3" t="s">
        <v>3</v>
      </c>
      <c r="AL84" s="3" t="s">
        <v>23</v>
      </c>
      <c r="AM84" s="3">
        <v>12</v>
      </c>
      <c r="AN84" s="18" t="str">
        <f t="shared" si="26"/>
        <v>PAL-ROS-pre-12</v>
      </c>
    </row>
    <row r="85" spans="1:40" x14ac:dyDescent="0.2">
      <c r="A85" s="39">
        <v>82</v>
      </c>
      <c r="AJ85" s="19" t="s">
        <v>7</v>
      </c>
      <c r="AK85" s="20" t="s">
        <v>3</v>
      </c>
      <c r="AL85" s="20" t="s">
        <v>23</v>
      </c>
      <c r="AM85" s="20">
        <v>15</v>
      </c>
      <c r="AN85" s="21" t="str">
        <f t="shared" si="26"/>
        <v>PAL-ROS-pre-15</v>
      </c>
    </row>
    <row r="86" spans="1:40" x14ac:dyDescent="0.2">
      <c r="A86" s="39">
        <v>83</v>
      </c>
      <c r="AJ86" s="14" t="s">
        <v>7</v>
      </c>
      <c r="AK86" s="15" t="s">
        <v>5</v>
      </c>
      <c r="AL86" s="15" t="s">
        <v>23</v>
      </c>
      <c r="AM86" s="15">
        <v>1</v>
      </c>
      <c r="AN86" s="16" t="str">
        <f>_xlfn.CONCAT(AJ86,"-",AK86,"-",AL86,"-",AM86)</f>
        <v>PAL-SKY-pre-1</v>
      </c>
    </row>
    <row r="87" spans="1:40" x14ac:dyDescent="0.2">
      <c r="A87" s="39">
        <v>84</v>
      </c>
      <c r="AJ87" s="17" t="s">
        <v>7</v>
      </c>
      <c r="AK87" s="3" t="s">
        <v>5</v>
      </c>
      <c r="AL87" s="3" t="s">
        <v>23</v>
      </c>
      <c r="AM87" s="3">
        <v>2</v>
      </c>
      <c r="AN87" s="18" t="str">
        <f t="shared" ref="AN87:AN91" si="27">_xlfn.CONCAT(AJ87,"-",AK87,"-",AL87,"-",AM87)</f>
        <v>PAL-SKY-pre-2</v>
      </c>
    </row>
    <row r="88" spans="1:40" x14ac:dyDescent="0.2">
      <c r="A88" s="39">
        <v>85</v>
      </c>
      <c r="AJ88" s="17" t="s">
        <v>7</v>
      </c>
      <c r="AK88" s="3" t="s">
        <v>5</v>
      </c>
      <c r="AL88" s="3" t="s">
        <v>23</v>
      </c>
      <c r="AM88" s="3">
        <v>3</v>
      </c>
      <c r="AN88" s="18" t="str">
        <f t="shared" si="27"/>
        <v>PAL-SKY-pre-3</v>
      </c>
    </row>
    <row r="89" spans="1:40" x14ac:dyDescent="0.2">
      <c r="A89" s="39">
        <v>86</v>
      </c>
      <c r="AJ89" s="17" t="s">
        <v>7</v>
      </c>
      <c r="AK89" s="3" t="s">
        <v>5</v>
      </c>
      <c r="AL89" s="3" t="s">
        <v>23</v>
      </c>
      <c r="AM89" s="3">
        <v>8</v>
      </c>
      <c r="AN89" s="18" t="str">
        <f t="shared" si="27"/>
        <v>PAL-SKY-pre-8</v>
      </c>
    </row>
    <row r="90" spans="1:40" x14ac:dyDescent="0.2">
      <c r="A90" s="39">
        <v>87</v>
      </c>
      <c r="AJ90" s="17" t="s">
        <v>7</v>
      </c>
      <c r="AK90" s="3" t="s">
        <v>5</v>
      </c>
      <c r="AL90" s="3" t="s">
        <v>23</v>
      </c>
      <c r="AM90" s="3">
        <v>12</v>
      </c>
      <c r="AN90" s="18" t="str">
        <f t="shared" si="27"/>
        <v>PAL-SKY-pre-12</v>
      </c>
    </row>
    <row r="91" spans="1:40" x14ac:dyDescent="0.2">
      <c r="A91" s="39">
        <v>88</v>
      </c>
      <c r="AJ91" s="19" t="s">
        <v>7</v>
      </c>
      <c r="AK91" s="20" t="s">
        <v>5</v>
      </c>
      <c r="AL91" s="20" t="s">
        <v>23</v>
      </c>
      <c r="AM91" s="20">
        <v>15</v>
      </c>
      <c r="AN91" s="21" t="str">
        <f t="shared" si="27"/>
        <v>PAL-SKY-pre-15</v>
      </c>
    </row>
    <row r="92" spans="1:40" x14ac:dyDescent="0.2">
      <c r="A92" s="39">
        <v>89</v>
      </c>
      <c r="AJ92" s="14" t="s">
        <v>7</v>
      </c>
      <c r="AK92" s="15" t="s">
        <v>3</v>
      </c>
      <c r="AL92" s="15" t="s">
        <v>24</v>
      </c>
      <c r="AM92" s="15">
        <v>1</v>
      </c>
      <c r="AN92" s="16" t="str">
        <f>_xlfn.CONCAT(AJ92,"-",AK92,"-",AL92,"-",AM92)</f>
        <v>PAL-ROS-1h-1</v>
      </c>
    </row>
    <row r="93" spans="1:40" x14ac:dyDescent="0.2">
      <c r="A93" s="39">
        <v>90</v>
      </c>
      <c r="AJ93" s="17" t="s">
        <v>7</v>
      </c>
      <c r="AK93" s="3" t="s">
        <v>3</v>
      </c>
      <c r="AL93" s="3" t="s">
        <v>24</v>
      </c>
      <c r="AM93" s="3">
        <v>2</v>
      </c>
      <c r="AN93" s="18" t="str">
        <f t="shared" ref="AN93:AN97" si="28">_xlfn.CONCAT(AJ93,"-",AK93,"-",AL93,"-",AM93)</f>
        <v>PAL-ROS-1h-2</v>
      </c>
    </row>
    <row r="94" spans="1:40" x14ac:dyDescent="0.2">
      <c r="A94" s="39">
        <v>91</v>
      </c>
      <c r="AJ94" s="17" t="s">
        <v>7</v>
      </c>
      <c r="AK94" s="3" t="s">
        <v>3</v>
      </c>
      <c r="AL94" s="3" t="s">
        <v>24</v>
      </c>
      <c r="AM94" s="3">
        <v>3</v>
      </c>
      <c r="AN94" s="18" t="str">
        <f t="shared" si="28"/>
        <v>PAL-ROS-1h-3</v>
      </c>
    </row>
    <row r="95" spans="1:40" x14ac:dyDescent="0.2">
      <c r="A95" s="39">
        <v>92</v>
      </c>
      <c r="AJ95" s="17" t="s">
        <v>7</v>
      </c>
      <c r="AK95" s="3" t="s">
        <v>3</v>
      </c>
      <c r="AL95" s="3" t="s">
        <v>24</v>
      </c>
      <c r="AM95" s="3">
        <v>8</v>
      </c>
      <c r="AN95" s="18" t="str">
        <f t="shared" si="28"/>
        <v>PAL-ROS-1h-8</v>
      </c>
    </row>
    <row r="96" spans="1:40" x14ac:dyDescent="0.2">
      <c r="A96" s="39">
        <v>93</v>
      </c>
      <c r="AJ96" s="17" t="s">
        <v>7</v>
      </c>
      <c r="AK96" s="3" t="s">
        <v>3</v>
      </c>
      <c r="AL96" s="3" t="s">
        <v>24</v>
      </c>
      <c r="AM96" s="3">
        <v>12</v>
      </c>
      <c r="AN96" s="18" t="str">
        <f t="shared" si="28"/>
        <v>PAL-ROS-1h-12</v>
      </c>
    </row>
    <row r="97" spans="1:40" x14ac:dyDescent="0.2">
      <c r="A97" s="39">
        <v>94</v>
      </c>
      <c r="AJ97" s="19" t="s">
        <v>7</v>
      </c>
      <c r="AK97" s="20" t="s">
        <v>3</v>
      </c>
      <c r="AL97" s="20" t="s">
        <v>24</v>
      </c>
      <c r="AM97" s="20">
        <v>15</v>
      </c>
      <c r="AN97" s="21" t="str">
        <f t="shared" si="28"/>
        <v>PAL-ROS-1h-15</v>
      </c>
    </row>
    <row r="98" spans="1:40" x14ac:dyDescent="0.2">
      <c r="A98" s="39">
        <v>95</v>
      </c>
      <c r="AJ98" s="14" t="s">
        <v>7</v>
      </c>
      <c r="AK98" s="15" t="s">
        <v>5</v>
      </c>
      <c r="AL98" s="15" t="s">
        <v>24</v>
      </c>
      <c r="AM98" s="15">
        <v>1</v>
      </c>
      <c r="AN98" s="16" t="str">
        <f>_xlfn.CONCAT(AJ98,"-",AK98,"-",AL98,"-",AM98)</f>
        <v>PAL-SKY-1h-1</v>
      </c>
    </row>
    <row r="99" spans="1:40" x14ac:dyDescent="0.2">
      <c r="A99" s="39">
        <v>96</v>
      </c>
      <c r="AJ99" s="17" t="s">
        <v>7</v>
      </c>
      <c r="AK99" s="3" t="s">
        <v>5</v>
      </c>
      <c r="AL99" s="3" t="s">
        <v>24</v>
      </c>
      <c r="AM99" s="3">
        <v>2</v>
      </c>
      <c r="AN99" s="18" t="str">
        <f t="shared" ref="AN99:AN103" si="29">_xlfn.CONCAT(AJ99,"-",AK99,"-",AL99,"-",AM99)</f>
        <v>PAL-SKY-1h-2</v>
      </c>
    </row>
    <row r="100" spans="1:40" x14ac:dyDescent="0.2">
      <c r="A100" s="39">
        <v>97</v>
      </c>
      <c r="AJ100" s="17" t="s">
        <v>7</v>
      </c>
      <c r="AK100" s="3" t="s">
        <v>5</v>
      </c>
      <c r="AL100" s="3" t="s">
        <v>24</v>
      </c>
      <c r="AM100" s="3">
        <v>3</v>
      </c>
      <c r="AN100" s="18" t="str">
        <f t="shared" si="29"/>
        <v>PAL-SKY-1h-3</v>
      </c>
    </row>
    <row r="101" spans="1:40" x14ac:dyDescent="0.2">
      <c r="A101" s="39">
        <v>98</v>
      </c>
      <c r="AJ101" s="17" t="s">
        <v>7</v>
      </c>
      <c r="AK101" s="3" t="s">
        <v>5</v>
      </c>
      <c r="AL101" s="3" t="s">
        <v>24</v>
      </c>
      <c r="AM101" s="3">
        <v>8</v>
      </c>
      <c r="AN101" s="18" t="str">
        <f t="shared" si="29"/>
        <v>PAL-SKY-1h-8</v>
      </c>
    </row>
    <row r="102" spans="1:40" x14ac:dyDescent="0.2">
      <c r="A102" s="39">
        <v>99</v>
      </c>
      <c r="AJ102" s="17" t="s">
        <v>7</v>
      </c>
      <c r="AK102" s="3" t="s">
        <v>5</v>
      </c>
      <c r="AL102" s="3" t="s">
        <v>24</v>
      </c>
      <c r="AM102" s="3">
        <v>12</v>
      </c>
      <c r="AN102" s="18" t="str">
        <f t="shared" si="29"/>
        <v>PAL-SKY-1h-12</v>
      </c>
    </row>
    <row r="103" spans="1:40" x14ac:dyDescent="0.2">
      <c r="A103" s="39">
        <v>100</v>
      </c>
      <c r="AJ103" s="19" t="s">
        <v>7</v>
      </c>
      <c r="AK103" s="20" t="s">
        <v>5</v>
      </c>
      <c r="AL103" s="20" t="s">
        <v>24</v>
      </c>
      <c r="AM103" s="20">
        <v>15</v>
      </c>
      <c r="AN103" s="21" t="str">
        <f t="shared" si="29"/>
        <v>PAL-SKY-1h-15</v>
      </c>
    </row>
    <row r="104" spans="1:40" x14ac:dyDescent="0.2">
      <c r="A104" s="39">
        <v>101</v>
      </c>
      <c r="AJ104" s="14" t="s">
        <v>7</v>
      </c>
      <c r="AK104" s="15" t="s">
        <v>3</v>
      </c>
      <c r="AL104" s="15" t="s">
        <v>25</v>
      </c>
      <c r="AM104" s="15">
        <v>1</v>
      </c>
      <c r="AN104" s="16" t="str">
        <f>_xlfn.CONCAT(AJ104,"-",AK104,"-",AL104,"-",AM104)</f>
        <v>PAL-ROS-6h-1</v>
      </c>
    </row>
    <row r="105" spans="1:40" x14ac:dyDescent="0.2">
      <c r="A105" s="39">
        <v>102</v>
      </c>
      <c r="AJ105" s="17" t="s">
        <v>7</v>
      </c>
      <c r="AK105" s="3" t="s">
        <v>3</v>
      </c>
      <c r="AL105" s="3" t="s">
        <v>25</v>
      </c>
      <c r="AM105" s="3">
        <v>2</v>
      </c>
      <c r="AN105" s="18" t="str">
        <f t="shared" ref="AN105:AN109" si="30">_xlfn.CONCAT(AJ105,"-",AK105,"-",AL105,"-",AM105)</f>
        <v>PAL-ROS-6h-2</v>
      </c>
    </row>
    <row r="106" spans="1:40" x14ac:dyDescent="0.2">
      <c r="A106" s="39">
        <v>103</v>
      </c>
      <c r="AJ106" s="17" t="s">
        <v>7</v>
      </c>
      <c r="AK106" s="3" t="s">
        <v>3</v>
      </c>
      <c r="AL106" s="3" t="s">
        <v>25</v>
      </c>
      <c r="AM106" s="3">
        <v>3</v>
      </c>
      <c r="AN106" s="18" t="str">
        <f t="shared" si="30"/>
        <v>PAL-ROS-6h-3</v>
      </c>
    </row>
    <row r="107" spans="1:40" x14ac:dyDescent="0.2">
      <c r="A107" s="39">
        <v>104</v>
      </c>
      <c r="AJ107" s="17" t="s">
        <v>7</v>
      </c>
      <c r="AK107" s="3" t="s">
        <v>3</v>
      </c>
      <c r="AL107" s="3" t="s">
        <v>25</v>
      </c>
      <c r="AM107" s="3">
        <v>8</v>
      </c>
      <c r="AN107" s="18" t="str">
        <f t="shared" si="30"/>
        <v>PAL-ROS-6h-8</v>
      </c>
    </row>
    <row r="108" spans="1:40" x14ac:dyDescent="0.2">
      <c r="A108" s="39">
        <v>105</v>
      </c>
      <c r="AJ108" s="17" t="s">
        <v>7</v>
      </c>
      <c r="AK108" s="3" t="s">
        <v>3</v>
      </c>
      <c r="AL108" s="3" t="s">
        <v>25</v>
      </c>
      <c r="AM108" s="3">
        <v>12</v>
      </c>
      <c r="AN108" s="18" t="str">
        <f t="shared" si="30"/>
        <v>PAL-ROS-6h-12</v>
      </c>
    </row>
    <row r="109" spans="1:40" x14ac:dyDescent="0.2">
      <c r="A109" s="39">
        <v>106</v>
      </c>
      <c r="AJ109" s="19" t="s">
        <v>7</v>
      </c>
      <c r="AK109" s="20" t="s">
        <v>3</v>
      </c>
      <c r="AL109" s="20" t="s">
        <v>25</v>
      </c>
      <c r="AM109" s="20">
        <v>15</v>
      </c>
      <c r="AN109" s="21" t="str">
        <f t="shared" si="30"/>
        <v>PAL-ROS-6h-15</v>
      </c>
    </row>
    <row r="110" spans="1:40" x14ac:dyDescent="0.2">
      <c r="A110" s="39">
        <v>107</v>
      </c>
      <c r="AJ110" s="14" t="s">
        <v>7</v>
      </c>
      <c r="AK110" s="15" t="s">
        <v>5</v>
      </c>
      <c r="AL110" s="15" t="s">
        <v>25</v>
      </c>
      <c r="AM110" s="15">
        <v>1</v>
      </c>
      <c r="AN110" s="16" t="str">
        <f>_xlfn.CONCAT(AJ110,"-",AK110,"-",AL110,"-",AM110)</f>
        <v>PAL-SKY-6h-1</v>
      </c>
    </row>
    <row r="111" spans="1:40" x14ac:dyDescent="0.2">
      <c r="A111" s="39">
        <v>108</v>
      </c>
      <c r="AJ111" s="17" t="s">
        <v>7</v>
      </c>
      <c r="AK111" s="3" t="s">
        <v>5</v>
      </c>
      <c r="AL111" s="3" t="s">
        <v>25</v>
      </c>
      <c r="AM111" s="3">
        <v>2</v>
      </c>
      <c r="AN111" s="18" t="str">
        <f t="shared" ref="AN111:AN115" si="31">_xlfn.CONCAT(AJ111,"-",AK111,"-",AL111,"-",AM111)</f>
        <v>PAL-SKY-6h-2</v>
      </c>
    </row>
    <row r="112" spans="1:40" x14ac:dyDescent="0.2">
      <c r="A112" s="39">
        <v>109</v>
      </c>
      <c r="AJ112" s="17" t="s">
        <v>7</v>
      </c>
      <c r="AK112" s="3" t="s">
        <v>5</v>
      </c>
      <c r="AL112" s="3" t="s">
        <v>25</v>
      </c>
      <c r="AM112" s="3">
        <v>3</v>
      </c>
      <c r="AN112" s="18" t="str">
        <f t="shared" si="31"/>
        <v>PAL-SKY-6h-3</v>
      </c>
    </row>
    <row r="113" spans="1:40" x14ac:dyDescent="0.2">
      <c r="A113" s="39">
        <v>110</v>
      </c>
      <c r="AJ113" s="17" t="s">
        <v>7</v>
      </c>
      <c r="AK113" s="3" t="s">
        <v>5</v>
      </c>
      <c r="AL113" s="3" t="s">
        <v>25</v>
      </c>
      <c r="AM113" s="3">
        <v>8</v>
      </c>
      <c r="AN113" s="18" t="str">
        <f t="shared" si="31"/>
        <v>PAL-SKY-6h-8</v>
      </c>
    </row>
    <row r="114" spans="1:40" x14ac:dyDescent="0.2">
      <c r="A114" s="39">
        <v>111</v>
      </c>
      <c r="AJ114" s="17" t="s">
        <v>7</v>
      </c>
      <c r="AK114" s="3" t="s">
        <v>5</v>
      </c>
      <c r="AL114" s="3" t="s">
        <v>25</v>
      </c>
      <c r="AM114" s="3">
        <v>12</v>
      </c>
      <c r="AN114" s="18" t="str">
        <f t="shared" si="31"/>
        <v>PAL-SKY-6h-12</v>
      </c>
    </row>
    <row r="115" spans="1:40" x14ac:dyDescent="0.2">
      <c r="A115" s="39">
        <v>112</v>
      </c>
      <c r="AJ115" s="19" t="s">
        <v>7</v>
      </c>
      <c r="AK115" s="20" t="s">
        <v>5</v>
      </c>
      <c r="AL115" s="20" t="s">
        <v>25</v>
      </c>
      <c r="AM115" s="20">
        <v>15</v>
      </c>
      <c r="AN115" s="21" t="str">
        <f t="shared" si="31"/>
        <v>PAL-SKY-6h-15</v>
      </c>
    </row>
    <row r="116" spans="1:40" x14ac:dyDescent="0.2">
      <c r="A116" s="39">
        <v>113</v>
      </c>
      <c r="AJ116" s="14" t="s">
        <v>7</v>
      </c>
      <c r="AK116" s="15" t="s">
        <v>3</v>
      </c>
      <c r="AL116" s="15" t="s">
        <v>26</v>
      </c>
      <c r="AM116" s="15">
        <v>1</v>
      </c>
      <c r="AN116" s="16" t="str">
        <f>_xlfn.CONCAT(AJ116,"-",AK116,"-",AL116,"-",AM116)</f>
        <v>PAL-ROS-24h-1</v>
      </c>
    </row>
    <row r="117" spans="1:40" x14ac:dyDescent="0.2">
      <c r="A117" s="39">
        <v>114</v>
      </c>
      <c r="AJ117" s="17" t="s">
        <v>7</v>
      </c>
      <c r="AK117" s="3" t="s">
        <v>3</v>
      </c>
      <c r="AL117" s="3" t="s">
        <v>26</v>
      </c>
      <c r="AM117" s="3">
        <v>2</v>
      </c>
      <c r="AN117" s="18" t="str">
        <f t="shared" ref="AN117:AN121" si="32">_xlfn.CONCAT(AJ117,"-",AK117,"-",AL117,"-",AM117)</f>
        <v>PAL-ROS-24h-2</v>
      </c>
    </row>
    <row r="118" spans="1:40" x14ac:dyDescent="0.2">
      <c r="A118" s="39">
        <v>115</v>
      </c>
      <c r="AJ118" s="17" t="s">
        <v>7</v>
      </c>
      <c r="AK118" s="3" t="s">
        <v>3</v>
      </c>
      <c r="AL118" s="3" t="s">
        <v>26</v>
      </c>
      <c r="AM118" s="3">
        <v>3</v>
      </c>
      <c r="AN118" s="18" t="str">
        <f t="shared" si="32"/>
        <v>PAL-ROS-24h-3</v>
      </c>
    </row>
    <row r="119" spans="1:40" x14ac:dyDescent="0.2">
      <c r="A119" s="39">
        <v>116</v>
      </c>
      <c r="AJ119" s="17" t="s">
        <v>7</v>
      </c>
      <c r="AK119" s="3" t="s">
        <v>3</v>
      </c>
      <c r="AL119" s="3" t="s">
        <v>26</v>
      </c>
      <c r="AM119" s="3">
        <v>8</v>
      </c>
      <c r="AN119" s="18" t="str">
        <f t="shared" si="32"/>
        <v>PAL-ROS-24h-8</v>
      </c>
    </row>
    <row r="120" spans="1:40" x14ac:dyDescent="0.2">
      <c r="A120" s="39">
        <v>117</v>
      </c>
      <c r="AJ120" s="17" t="s">
        <v>7</v>
      </c>
      <c r="AK120" s="3" t="s">
        <v>3</v>
      </c>
      <c r="AL120" s="3" t="s">
        <v>26</v>
      </c>
      <c r="AM120" s="3">
        <v>12</v>
      </c>
      <c r="AN120" s="18" t="str">
        <f t="shared" si="32"/>
        <v>PAL-ROS-24h-12</v>
      </c>
    </row>
    <row r="121" spans="1:40" x14ac:dyDescent="0.2">
      <c r="A121" s="39">
        <v>118</v>
      </c>
      <c r="AJ121" s="19" t="s">
        <v>7</v>
      </c>
      <c r="AK121" s="20" t="s">
        <v>3</v>
      </c>
      <c r="AL121" s="20" t="s">
        <v>26</v>
      </c>
      <c r="AM121" s="20">
        <v>15</v>
      </c>
      <c r="AN121" s="21" t="str">
        <f t="shared" si="32"/>
        <v>PAL-ROS-24h-15</v>
      </c>
    </row>
    <row r="122" spans="1:40" x14ac:dyDescent="0.2">
      <c r="A122" s="39">
        <v>119</v>
      </c>
      <c r="AJ122" s="14" t="s">
        <v>7</v>
      </c>
      <c r="AK122" s="15" t="s">
        <v>5</v>
      </c>
      <c r="AL122" s="15" t="s">
        <v>26</v>
      </c>
      <c r="AM122" s="15">
        <v>1</v>
      </c>
      <c r="AN122" s="16" t="str">
        <f>_xlfn.CONCAT(AJ122,"-",AK122,"-",AL122,"-",AM122)</f>
        <v>PAL-SKY-24h-1</v>
      </c>
    </row>
    <row r="123" spans="1:40" x14ac:dyDescent="0.2">
      <c r="A123" s="39">
        <v>120</v>
      </c>
      <c r="AJ123" s="17" t="s">
        <v>7</v>
      </c>
      <c r="AK123" s="3" t="s">
        <v>5</v>
      </c>
      <c r="AL123" s="3" t="s">
        <v>26</v>
      </c>
      <c r="AM123" s="3">
        <v>2</v>
      </c>
      <c r="AN123" s="18" t="str">
        <f t="shared" ref="AN123:AN127" si="33">_xlfn.CONCAT(AJ123,"-",AK123,"-",AL123,"-",AM123)</f>
        <v>PAL-SKY-24h-2</v>
      </c>
    </row>
    <row r="124" spans="1:40" x14ac:dyDescent="0.2">
      <c r="A124" s="39">
        <v>121</v>
      </c>
      <c r="AJ124" s="17" t="s">
        <v>7</v>
      </c>
      <c r="AK124" s="3" t="s">
        <v>5</v>
      </c>
      <c r="AL124" s="3" t="s">
        <v>26</v>
      </c>
      <c r="AM124" s="3">
        <v>3</v>
      </c>
      <c r="AN124" s="18" t="str">
        <f t="shared" si="33"/>
        <v>PAL-SKY-24h-3</v>
      </c>
    </row>
    <row r="125" spans="1:40" x14ac:dyDescent="0.2">
      <c r="A125" s="39">
        <v>122</v>
      </c>
      <c r="AJ125" s="17" t="s">
        <v>7</v>
      </c>
      <c r="AK125" s="3" t="s">
        <v>5</v>
      </c>
      <c r="AL125" s="3" t="s">
        <v>26</v>
      </c>
      <c r="AM125" s="3">
        <v>8</v>
      </c>
      <c r="AN125" s="18" t="str">
        <f t="shared" si="33"/>
        <v>PAL-SKY-24h-8</v>
      </c>
    </row>
    <row r="126" spans="1:40" x14ac:dyDescent="0.2">
      <c r="A126" s="39">
        <v>123</v>
      </c>
      <c r="AJ126" s="17" t="s">
        <v>7</v>
      </c>
      <c r="AK126" s="3" t="s">
        <v>5</v>
      </c>
      <c r="AL126" s="3" t="s">
        <v>26</v>
      </c>
      <c r="AM126" s="3">
        <v>12</v>
      </c>
      <c r="AN126" s="18" t="str">
        <f t="shared" si="33"/>
        <v>PAL-SKY-24h-12</v>
      </c>
    </row>
    <row r="127" spans="1:40" x14ac:dyDescent="0.2">
      <c r="A127" s="39">
        <v>124</v>
      </c>
      <c r="AJ127" s="19" t="s">
        <v>7</v>
      </c>
      <c r="AK127" s="20" t="s">
        <v>5</v>
      </c>
      <c r="AL127" s="20" t="s">
        <v>26</v>
      </c>
      <c r="AM127" s="20">
        <v>15</v>
      </c>
      <c r="AN127" s="21" t="str">
        <f t="shared" si="33"/>
        <v>PAL-SKY-24h-15</v>
      </c>
    </row>
    <row r="128" spans="1:40" x14ac:dyDescent="0.2">
      <c r="A128" s="39">
        <v>125</v>
      </c>
      <c r="AJ128" s="14" t="s">
        <v>7</v>
      </c>
      <c r="AK128" s="15" t="s">
        <v>3</v>
      </c>
      <c r="AL128" s="15" t="s">
        <v>27</v>
      </c>
      <c r="AM128" s="15">
        <v>1</v>
      </c>
      <c r="AN128" s="16" t="str">
        <f>_xlfn.CONCAT(AJ128,"-",AK128,"-",AL128,"-",AM128)</f>
        <v>PAL-ROS-48h-1</v>
      </c>
    </row>
    <row r="129" spans="1:40" x14ac:dyDescent="0.2">
      <c r="A129" s="39">
        <v>126</v>
      </c>
      <c r="AJ129" s="17" t="s">
        <v>7</v>
      </c>
      <c r="AK129" s="3" t="s">
        <v>3</v>
      </c>
      <c r="AL129" s="3" t="s">
        <v>27</v>
      </c>
      <c r="AM129" s="3">
        <v>2</v>
      </c>
      <c r="AN129" s="18" t="str">
        <f t="shared" ref="AN129:AN133" si="34">_xlfn.CONCAT(AJ129,"-",AK129,"-",AL129,"-",AM129)</f>
        <v>PAL-ROS-48h-2</v>
      </c>
    </row>
    <row r="130" spans="1:40" x14ac:dyDescent="0.2">
      <c r="A130" s="39">
        <v>127</v>
      </c>
      <c r="AJ130" s="17" t="s">
        <v>7</v>
      </c>
      <c r="AK130" s="3" t="s">
        <v>3</v>
      </c>
      <c r="AL130" s="3" t="s">
        <v>27</v>
      </c>
      <c r="AM130" s="3">
        <v>3</v>
      </c>
      <c r="AN130" s="18" t="str">
        <f t="shared" si="34"/>
        <v>PAL-ROS-48h-3</v>
      </c>
    </row>
    <row r="131" spans="1:40" x14ac:dyDescent="0.2">
      <c r="A131" s="39">
        <v>128</v>
      </c>
      <c r="AJ131" s="17" t="s">
        <v>7</v>
      </c>
      <c r="AK131" s="3" t="s">
        <v>3</v>
      </c>
      <c r="AL131" s="3" t="s">
        <v>27</v>
      </c>
      <c r="AM131" s="3">
        <v>8</v>
      </c>
      <c r="AN131" s="18" t="str">
        <f t="shared" si="34"/>
        <v>PAL-ROS-48h-8</v>
      </c>
    </row>
    <row r="132" spans="1:40" x14ac:dyDescent="0.2">
      <c r="A132" s="39">
        <v>129</v>
      </c>
      <c r="AJ132" s="17" t="s">
        <v>7</v>
      </c>
      <c r="AK132" s="3" t="s">
        <v>3</v>
      </c>
      <c r="AL132" s="3" t="s">
        <v>27</v>
      </c>
      <c r="AM132" s="3">
        <v>12</v>
      </c>
      <c r="AN132" s="18" t="str">
        <f t="shared" si="34"/>
        <v>PAL-ROS-48h-12</v>
      </c>
    </row>
    <row r="133" spans="1:40" x14ac:dyDescent="0.2">
      <c r="A133" s="39">
        <v>130</v>
      </c>
      <c r="AJ133" s="19" t="s">
        <v>7</v>
      </c>
      <c r="AK133" s="20" t="s">
        <v>3</v>
      </c>
      <c r="AL133" s="20" t="s">
        <v>27</v>
      </c>
      <c r="AM133" s="20">
        <v>15</v>
      </c>
      <c r="AN133" s="21" t="str">
        <f t="shared" si="34"/>
        <v>PAL-ROS-48h-15</v>
      </c>
    </row>
    <row r="134" spans="1:40" x14ac:dyDescent="0.2">
      <c r="A134" s="39">
        <v>131</v>
      </c>
      <c r="AJ134" s="14" t="s">
        <v>7</v>
      </c>
      <c r="AK134" s="15" t="s">
        <v>5</v>
      </c>
      <c r="AL134" s="15" t="s">
        <v>27</v>
      </c>
      <c r="AM134" s="15">
        <v>1</v>
      </c>
      <c r="AN134" s="16" t="str">
        <f>_xlfn.CONCAT(AJ134,"-",AK134,"-",AL134,"-",AM134)</f>
        <v>PAL-SKY-48h-1</v>
      </c>
    </row>
    <row r="135" spans="1:40" x14ac:dyDescent="0.2">
      <c r="A135" s="39">
        <v>132</v>
      </c>
      <c r="AJ135" s="17" t="s">
        <v>7</v>
      </c>
      <c r="AK135" s="3" t="s">
        <v>5</v>
      </c>
      <c r="AL135" s="3" t="s">
        <v>27</v>
      </c>
      <c r="AM135" s="3">
        <v>2</v>
      </c>
      <c r="AN135" s="18" t="str">
        <f t="shared" ref="AN135:AN139" si="35">_xlfn.CONCAT(AJ135,"-",AK135,"-",AL135,"-",AM135)</f>
        <v>PAL-SKY-48h-2</v>
      </c>
    </row>
    <row r="136" spans="1:40" x14ac:dyDescent="0.2">
      <c r="A136" s="39">
        <v>133</v>
      </c>
      <c r="AJ136" s="17" t="s">
        <v>7</v>
      </c>
      <c r="AK136" s="3" t="s">
        <v>5</v>
      </c>
      <c r="AL136" s="3" t="s">
        <v>27</v>
      </c>
      <c r="AM136" s="3">
        <v>3</v>
      </c>
      <c r="AN136" s="18" t="str">
        <f t="shared" si="35"/>
        <v>PAL-SKY-48h-3</v>
      </c>
    </row>
    <row r="137" spans="1:40" x14ac:dyDescent="0.2">
      <c r="A137" s="39">
        <v>134</v>
      </c>
      <c r="AJ137" s="17" t="s">
        <v>7</v>
      </c>
      <c r="AK137" s="3" t="s">
        <v>5</v>
      </c>
      <c r="AL137" s="3" t="s">
        <v>27</v>
      </c>
      <c r="AM137" s="3">
        <v>8</v>
      </c>
      <c r="AN137" s="18" t="str">
        <f t="shared" si="35"/>
        <v>PAL-SKY-48h-8</v>
      </c>
    </row>
    <row r="138" spans="1:40" x14ac:dyDescent="0.2">
      <c r="A138" s="39">
        <v>135</v>
      </c>
      <c r="AJ138" s="17" t="s">
        <v>7</v>
      </c>
      <c r="AK138" s="3" t="s">
        <v>5</v>
      </c>
      <c r="AL138" s="3" t="s">
        <v>27</v>
      </c>
      <c r="AM138" s="3">
        <v>12</v>
      </c>
      <c r="AN138" s="18" t="str">
        <f t="shared" si="35"/>
        <v>PAL-SKY-48h-12</v>
      </c>
    </row>
    <row r="139" spans="1:40" x14ac:dyDescent="0.2">
      <c r="A139" s="39">
        <v>136</v>
      </c>
      <c r="AJ139" s="17" t="s">
        <v>7</v>
      </c>
      <c r="AK139" s="3" t="s">
        <v>5</v>
      </c>
      <c r="AL139" s="3" t="s">
        <v>27</v>
      </c>
      <c r="AM139" s="3">
        <v>15</v>
      </c>
      <c r="AN139" s="18" t="str">
        <f t="shared" si="35"/>
        <v>PAL-SKY-48h-15</v>
      </c>
    </row>
    <row r="140" spans="1:40" x14ac:dyDescent="0.2">
      <c r="A140" s="39">
        <v>137</v>
      </c>
      <c r="AJ140" s="14" t="s">
        <v>7</v>
      </c>
      <c r="AK140" s="15" t="s">
        <v>29</v>
      </c>
      <c r="AL140" s="15"/>
      <c r="AM140" s="15" t="s">
        <v>30</v>
      </c>
      <c r="AN140" s="16" t="str">
        <f t="shared" ref="AN140:AN141" si="36">_xlfn.CONCAT(AJ140,"-",AK140,"-",AL140,"-",AM140)</f>
        <v>PAL-BLANK--A</v>
      </c>
    </row>
    <row r="141" spans="1:40" x14ac:dyDescent="0.2">
      <c r="A141" s="39">
        <v>138</v>
      </c>
      <c r="AJ141" s="19" t="s">
        <v>7</v>
      </c>
      <c r="AK141" s="20" t="s">
        <v>29</v>
      </c>
      <c r="AL141" s="20"/>
      <c r="AM141" s="20" t="s">
        <v>31</v>
      </c>
      <c r="AN141" s="21" t="str">
        <f t="shared" si="36"/>
        <v>PAL-BLANK--B</v>
      </c>
    </row>
    <row r="142" spans="1:40" x14ac:dyDescent="0.2">
      <c r="A142" s="39">
        <v>139</v>
      </c>
      <c r="AJ142" s="17" t="s">
        <v>7</v>
      </c>
      <c r="AK142" s="3" t="s">
        <v>43</v>
      </c>
      <c r="AL142" s="3"/>
      <c r="AM142" s="3" t="s">
        <v>30</v>
      </c>
      <c r="AN142" s="18" t="str">
        <f t="shared" ref="AN142:AN143" si="37">_xlfn.CONCAT(AJ142,"-",AK142,"-",AL142,"-",AM142)</f>
        <v>PAL-AMBIENT--A</v>
      </c>
    </row>
    <row r="143" spans="1:40" x14ac:dyDescent="0.2">
      <c r="A143" s="39">
        <v>140</v>
      </c>
      <c r="AJ143" s="19" t="s">
        <v>7</v>
      </c>
      <c r="AK143" s="20" t="s">
        <v>43</v>
      </c>
      <c r="AL143" s="20"/>
      <c r="AM143" s="20" t="s">
        <v>31</v>
      </c>
      <c r="AN143" s="21" t="str">
        <f t="shared" si="37"/>
        <v>PAL-AMBIENT--B</v>
      </c>
    </row>
    <row r="144" spans="1:40" x14ac:dyDescent="0.2">
      <c r="A144" s="39">
        <v>141</v>
      </c>
      <c r="AJ144" s="25" t="s">
        <v>6</v>
      </c>
      <c r="AK144" s="4" t="s">
        <v>3</v>
      </c>
      <c r="AL144" s="4" t="s">
        <v>23</v>
      </c>
      <c r="AM144" s="4">
        <v>1</v>
      </c>
      <c r="AN144" s="26" t="str">
        <f>_xlfn.CONCAT(AJ144,"-",AK144,"-",AL144,"-",AM144)</f>
        <v>LOM-ROS-pre-1</v>
      </c>
    </row>
    <row r="145" spans="1:40" x14ac:dyDescent="0.2">
      <c r="A145" s="39">
        <v>142</v>
      </c>
      <c r="AJ145" s="25" t="s">
        <v>6</v>
      </c>
      <c r="AK145" s="4" t="s">
        <v>3</v>
      </c>
      <c r="AL145" s="4" t="s">
        <v>23</v>
      </c>
      <c r="AM145" s="4">
        <v>2</v>
      </c>
      <c r="AN145" s="26" t="str">
        <f t="shared" ref="AN145:AN149" si="38">_xlfn.CONCAT(AJ145,"-",AK145,"-",AL145,"-",AM145)</f>
        <v>LOM-ROS-pre-2</v>
      </c>
    </row>
    <row r="146" spans="1:40" x14ac:dyDescent="0.2">
      <c r="A146" s="39">
        <v>143</v>
      </c>
      <c r="AJ146" s="25" t="s">
        <v>6</v>
      </c>
      <c r="AK146" s="4" t="s">
        <v>3</v>
      </c>
      <c r="AL146" s="4" t="s">
        <v>23</v>
      </c>
      <c r="AM146" s="4">
        <v>3</v>
      </c>
      <c r="AN146" s="26" t="str">
        <f t="shared" si="38"/>
        <v>LOM-ROS-pre-3</v>
      </c>
    </row>
    <row r="147" spans="1:40" x14ac:dyDescent="0.2">
      <c r="A147" s="39">
        <v>144</v>
      </c>
      <c r="AJ147" s="25" t="s">
        <v>6</v>
      </c>
      <c r="AK147" s="4" t="s">
        <v>3</v>
      </c>
      <c r="AL147" s="4" t="s">
        <v>23</v>
      </c>
      <c r="AM147" s="4">
        <v>8</v>
      </c>
      <c r="AN147" s="26" t="str">
        <f t="shared" si="38"/>
        <v>LOM-ROS-pre-8</v>
      </c>
    </row>
    <row r="148" spans="1:40" x14ac:dyDescent="0.2">
      <c r="A148" s="39">
        <v>145</v>
      </c>
      <c r="AJ148" s="25" t="s">
        <v>6</v>
      </c>
      <c r="AK148" s="4" t="s">
        <v>3</v>
      </c>
      <c r="AL148" s="4" t="s">
        <v>23</v>
      </c>
      <c r="AM148" s="4">
        <v>12</v>
      </c>
      <c r="AN148" s="26" t="str">
        <f t="shared" si="38"/>
        <v>LOM-ROS-pre-12</v>
      </c>
    </row>
    <row r="149" spans="1:40" x14ac:dyDescent="0.2">
      <c r="A149" s="39">
        <v>146</v>
      </c>
      <c r="AJ149" s="27" t="s">
        <v>6</v>
      </c>
      <c r="AK149" s="28" t="s">
        <v>3</v>
      </c>
      <c r="AL149" s="28" t="s">
        <v>23</v>
      </c>
      <c r="AM149" s="28">
        <v>15</v>
      </c>
      <c r="AN149" s="29" t="str">
        <f t="shared" si="38"/>
        <v>LOM-ROS-pre-15</v>
      </c>
    </row>
    <row r="150" spans="1:40" x14ac:dyDescent="0.2">
      <c r="A150" s="39">
        <v>147</v>
      </c>
      <c r="AJ150" s="22" t="s">
        <v>6</v>
      </c>
      <c r="AK150" s="23" t="s">
        <v>5</v>
      </c>
      <c r="AL150" s="23" t="s">
        <v>23</v>
      </c>
      <c r="AM150" s="23">
        <v>1</v>
      </c>
      <c r="AN150" s="24" t="str">
        <f t="shared" ref="AN150:AN181" si="39">_xlfn.CONCAT(AJ150,"-",AK150,"-",AL150,"-",AM150)</f>
        <v>LOM-SKY-pre-1</v>
      </c>
    </row>
    <row r="151" spans="1:40" x14ac:dyDescent="0.2">
      <c r="A151" s="39">
        <v>148</v>
      </c>
      <c r="AJ151" s="25" t="s">
        <v>6</v>
      </c>
      <c r="AK151" s="4" t="s">
        <v>5</v>
      </c>
      <c r="AL151" s="4" t="s">
        <v>23</v>
      </c>
      <c r="AM151" s="4">
        <v>2</v>
      </c>
      <c r="AN151" s="26" t="str">
        <f t="shared" si="39"/>
        <v>LOM-SKY-pre-2</v>
      </c>
    </row>
    <row r="152" spans="1:40" x14ac:dyDescent="0.2">
      <c r="A152" s="39">
        <v>149</v>
      </c>
      <c r="AJ152" s="25" t="s">
        <v>6</v>
      </c>
      <c r="AK152" s="4" t="s">
        <v>5</v>
      </c>
      <c r="AL152" s="4" t="s">
        <v>23</v>
      </c>
      <c r="AM152" s="4">
        <v>3</v>
      </c>
      <c r="AN152" s="26" t="str">
        <f t="shared" si="39"/>
        <v>LOM-SKY-pre-3</v>
      </c>
    </row>
    <row r="153" spans="1:40" x14ac:dyDescent="0.2">
      <c r="A153" s="39">
        <v>150</v>
      </c>
      <c r="AJ153" s="25" t="s">
        <v>6</v>
      </c>
      <c r="AK153" s="4" t="s">
        <v>5</v>
      </c>
      <c r="AL153" s="4" t="s">
        <v>23</v>
      </c>
      <c r="AM153" s="4">
        <v>8</v>
      </c>
      <c r="AN153" s="26" t="str">
        <f t="shared" si="39"/>
        <v>LOM-SKY-pre-8</v>
      </c>
    </row>
    <row r="154" spans="1:40" x14ac:dyDescent="0.2">
      <c r="A154" s="39">
        <v>151</v>
      </c>
      <c r="AJ154" s="25" t="s">
        <v>6</v>
      </c>
      <c r="AK154" s="4" t="s">
        <v>5</v>
      </c>
      <c r="AL154" s="4" t="s">
        <v>23</v>
      </c>
      <c r="AM154" s="4">
        <v>12</v>
      </c>
      <c r="AN154" s="26" t="str">
        <f t="shared" si="39"/>
        <v>LOM-SKY-pre-12</v>
      </c>
    </row>
    <row r="155" spans="1:40" x14ac:dyDescent="0.2">
      <c r="A155" s="39">
        <v>152</v>
      </c>
      <c r="AJ155" s="27" t="s">
        <v>6</v>
      </c>
      <c r="AK155" s="28" t="s">
        <v>5</v>
      </c>
      <c r="AL155" s="28" t="s">
        <v>23</v>
      </c>
      <c r="AM155" s="28">
        <v>15</v>
      </c>
      <c r="AN155" s="29" t="str">
        <f t="shared" si="39"/>
        <v>LOM-SKY-pre-15</v>
      </c>
    </row>
    <row r="156" spans="1:40" x14ac:dyDescent="0.2">
      <c r="A156" s="39">
        <v>153</v>
      </c>
      <c r="AJ156" s="22" t="s">
        <v>6</v>
      </c>
      <c r="AK156" s="23" t="s">
        <v>3</v>
      </c>
      <c r="AL156" s="23" t="s">
        <v>24</v>
      </c>
      <c r="AM156" s="23">
        <v>1</v>
      </c>
      <c r="AN156" s="24" t="str">
        <f t="shared" si="39"/>
        <v>LOM-ROS-1h-1</v>
      </c>
    </row>
    <row r="157" spans="1:40" x14ac:dyDescent="0.2">
      <c r="A157" s="39">
        <v>154</v>
      </c>
      <c r="AJ157" s="25" t="s">
        <v>6</v>
      </c>
      <c r="AK157" s="4" t="s">
        <v>3</v>
      </c>
      <c r="AL157" s="4" t="s">
        <v>24</v>
      </c>
      <c r="AM157" s="4">
        <v>2</v>
      </c>
      <c r="AN157" s="26" t="str">
        <f t="shared" si="39"/>
        <v>LOM-ROS-1h-2</v>
      </c>
    </row>
    <row r="158" spans="1:40" x14ac:dyDescent="0.2">
      <c r="A158" s="39">
        <v>155</v>
      </c>
      <c r="AJ158" s="25" t="s">
        <v>6</v>
      </c>
      <c r="AK158" s="4" t="s">
        <v>3</v>
      </c>
      <c r="AL158" s="4" t="s">
        <v>24</v>
      </c>
      <c r="AM158" s="4">
        <v>3</v>
      </c>
      <c r="AN158" s="26" t="str">
        <f t="shared" si="39"/>
        <v>LOM-ROS-1h-3</v>
      </c>
    </row>
    <row r="159" spans="1:40" x14ac:dyDescent="0.2">
      <c r="A159" s="39">
        <v>156</v>
      </c>
      <c r="AJ159" s="25" t="s">
        <v>6</v>
      </c>
      <c r="AK159" s="4" t="s">
        <v>3</v>
      </c>
      <c r="AL159" s="4" t="s">
        <v>24</v>
      </c>
      <c r="AM159" s="4">
        <v>8</v>
      </c>
      <c r="AN159" s="26" t="str">
        <f t="shared" si="39"/>
        <v>LOM-ROS-1h-8</v>
      </c>
    </row>
    <row r="160" spans="1:40" x14ac:dyDescent="0.2">
      <c r="A160" s="39">
        <v>157</v>
      </c>
      <c r="AJ160" s="25" t="s">
        <v>6</v>
      </c>
      <c r="AK160" s="4" t="s">
        <v>3</v>
      </c>
      <c r="AL160" s="4" t="s">
        <v>24</v>
      </c>
      <c r="AM160" s="4">
        <v>12</v>
      </c>
      <c r="AN160" s="26" t="str">
        <f t="shared" si="39"/>
        <v>LOM-ROS-1h-12</v>
      </c>
    </row>
    <row r="161" spans="1:40" x14ac:dyDescent="0.2">
      <c r="A161" s="39">
        <v>158</v>
      </c>
      <c r="AJ161" s="27" t="s">
        <v>6</v>
      </c>
      <c r="AK161" s="28" t="s">
        <v>3</v>
      </c>
      <c r="AL161" s="28" t="s">
        <v>24</v>
      </c>
      <c r="AM161" s="28">
        <v>15</v>
      </c>
      <c r="AN161" s="29" t="str">
        <f t="shared" si="39"/>
        <v>LOM-ROS-1h-15</v>
      </c>
    </row>
    <row r="162" spans="1:40" x14ac:dyDescent="0.2">
      <c r="A162" s="39">
        <v>159</v>
      </c>
      <c r="AJ162" s="22" t="s">
        <v>6</v>
      </c>
      <c r="AK162" s="23" t="s">
        <v>5</v>
      </c>
      <c r="AL162" s="23" t="s">
        <v>24</v>
      </c>
      <c r="AM162" s="23">
        <v>1</v>
      </c>
      <c r="AN162" s="24" t="str">
        <f t="shared" si="39"/>
        <v>LOM-SKY-1h-1</v>
      </c>
    </row>
    <row r="163" spans="1:40" x14ac:dyDescent="0.2">
      <c r="A163" s="39">
        <v>160</v>
      </c>
      <c r="AJ163" s="25" t="s">
        <v>6</v>
      </c>
      <c r="AK163" s="4" t="s">
        <v>5</v>
      </c>
      <c r="AL163" s="4" t="s">
        <v>24</v>
      </c>
      <c r="AM163" s="4">
        <v>2</v>
      </c>
      <c r="AN163" s="26" t="str">
        <f t="shared" si="39"/>
        <v>LOM-SKY-1h-2</v>
      </c>
    </row>
    <row r="164" spans="1:40" x14ac:dyDescent="0.2">
      <c r="A164" s="39">
        <v>161</v>
      </c>
      <c r="AJ164" s="25" t="s">
        <v>6</v>
      </c>
      <c r="AK164" s="4" t="s">
        <v>5</v>
      </c>
      <c r="AL164" s="4" t="s">
        <v>24</v>
      </c>
      <c r="AM164" s="4">
        <v>3</v>
      </c>
      <c r="AN164" s="26" t="str">
        <f t="shared" si="39"/>
        <v>LOM-SKY-1h-3</v>
      </c>
    </row>
    <row r="165" spans="1:40" x14ac:dyDescent="0.2">
      <c r="A165" s="39">
        <v>162</v>
      </c>
      <c r="AJ165" s="25" t="s">
        <v>6</v>
      </c>
      <c r="AK165" s="4" t="s">
        <v>5</v>
      </c>
      <c r="AL165" s="4" t="s">
        <v>24</v>
      </c>
      <c r="AM165" s="4">
        <v>8</v>
      </c>
      <c r="AN165" s="26" t="str">
        <f t="shared" si="39"/>
        <v>LOM-SKY-1h-8</v>
      </c>
    </row>
    <row r="166" spans="1:40" x14ac:dyDescent="0.2">
      <c r="A166" s="39">
        <v>163</v>
      </c>
      <c r="AJ166" s="25" t="s">
        <v>6</v>
      </c>
      <c r="AK166" s="4" t="s">
        <v>5</v>
      </c>
      <c r="AL166" s="4" t="s">
        <v>24</v>
      </c>
      <c r="AM166" s="4">
        <v>12</v>
      </c>
      <c r="AN166" s="26" t="str">
        <f t="shared" si="39"/>
        <v>LOM-SKY-1h-12</v>
      </c>
    </row>
    <row r="167" spans="1:40" x14ac:dyDescent="0.2">
      <c r="A167" s="39">
        <v>164</v>
      </c>
      <c r="AJ167" s="27" t="s">
        <v>6</v>
      </c>
      <c r="AK167" s="28" t="s">
        <v>5</v>
      </c>
      <c r="AL167" s="28" t="s">
        <v>24</v>
      </c>
      <c r="AM167" s="28">
        <v>15</v>
      </c>
      <c r="AN167" s="29" t="str">
        <f t="shared" si="39"/>
        <v>LOM-SKY-1h-15</v>
      </c>
    </row>
    <row r="168" spans="1:40" x14ac:dyDescent="0.2">
      <c r="A168" s="39">
        <v>165</v>
      </c>
      <c r="AJ168" s="22" t="s">
        <v>6</v>
      </c>
      <c r="AK168" s="23" t="s">
        <v>3</v>
      </c>
      <c r="AL168" s="23" t="s">
        <v>25</v>
      </c>
      <c r="AM168" s="23">
        <v>1</v>
      </c>
      <c r="AN168" s="24" t="str">
        <f t="shared" si="39"/>
        <v>LOM-ROS-6h-1</v>
      </c>
    </row>
    <row r="169" spans="1:40" x14ac:dyDescent="0.2">
      <c r="A169" s="39">
        <v>166</v>
      </c>
      <c r="AJ169" s="25" t="s">
        <v>6</v>
      </c>
      <c r="AK169" s="4" t="s">
        <v>3</v>
      </c>
      <c r="AL169" s="4" t="s">
        <v>25</v>
      </c>
      <c r="AM169" s="4">
        <v>2</v>
      </c>
      <c r="AN169" s="26" t="str">
        <f t="shared" si="39"/>
        <v>LOM-ROS-6h-2</v>
      </c>
    </row>
    <row r="170" spans="1:40" x14ac:dyDescent="0.2">
      <c r="A170" s="39">
        <v>167</v>
      </c>
      <c r="AJ170" s="25" t="s">
        <v>6</v>
      </c>
      <c r="AK170" s="4" t="s">
        <v>3</v>
      </c>
      <c r="AL170" s="4" t="s">
        <v>25</v>
      </c>
      <c r="AM170" s="4">
        <v>3</v>
      </c>
      <c r="AN170" s="26" t="str">
        <f t="shared" si="39"/>
        <v>LOM-ROS-6h-3</v>
      </c>
    </row>
    <row r="171" spans="1:40" x14ac:dyDescent="0.2">
      <c r="A171" s="39">
        <v>168</v>
      </c>
      <c r="AJ171" s="25" t="s">
        <v>6</v>
      </c>
      <c r="AK171" s="4" t="s">
        <v>3</v>
      </c>
      <c r="AL171" s="4" t="s">
        <v>25</v>
      </c>
      <c r="AM171" s="4">
        <v>8</v>
      </c>
      <c r="AN171" s="26" t="str">
        <f t="shared" si="39"/>
        <v>LOM-ROS-6h-8</v>
      </c>
    </row>
    <row r="172" spans="1:40" x14ac:dyDescent="0.2">
      <c r="A172" s="39">
        <v>169</v>
      </c>
      <c r="AJ172" s="25" t="s">
        <v>6</v>
      </c>
      <c r="AK172" s="4" t="s">
        <v>3</v>
      </c>
      <c r="AL172" s="4" t="s">
        <v>25</v>
      </c>
      <c r="AM172" s="4">
        <v>12</v>
      </c>
      <c r="AN172" s="26" t="str">
        <f t="shared" si="39"/>
        <v>LOM-ROS-6h-12</v>
      </c>
    </row>
    <row r="173" spans="1:40" x14ac:dyDescent="0.2">
      <c r="A173" s="39">
        <v>170</v>
      </c>
      <c r="AJ173" s="27" t="s">
        <v>6</v>
      </c>
      <c r="AK173" s="28" t="s">
        <v>3</v>
      </c>
      <c r="AL173" s="28" t="s">
        <v>25</v>
      </c>
      <c r="AM173" s="28">
        <v>15</v>
      </c>
      <c r="AN173" s="29" t="str">
        <f t="shared" si="39"/>
        <v>LOM-ROS-6h-15</v>
      </c>
    </row>
    <row r="174" spans="1:40" x14ac:dyDescent="0.2">
      <c r="A174" s="39">
        <v>171</v>
      </c>
      <c r="AJ174" s="22" t="s">
        <v>6</v>
      </c>
      <c r="AK174" s="23" t="s">
        <v>5</v>
      </c>
      <c r="AL174" s="23" t="s">
        <v>25</v>
      </c>
      <c r="AM174" s="23">
        <v>1</v>
      </c>
      <c r="AN174" s="24" t="str">
        <f t="shared" si="39"/>
        <v>LOM-SKY-6h-1</v>
      </c>
    </row>
    <row r="175" spans="1:40" x14ac:dyDescent="0.2">
      <c r="A175" s="39">
        <v>172</v>
      </c>
      <c r="AJ175" s="25" t="s">
        <v>6</v>
      </c>
      <c r="AK175" s="4" t="s">
        <v>5</v>
      </c>
      <c r="AL175" s="4" t="s">
        <v>25</v>
      </c>
      <c r="AM175" s="4">
        <v>2</v>
      </c>
      <c r="AN175" s="26" t="str">
        <f t="shared" si="39"/>
        <v>LOM-SKY-6h-2</v>
      </c>
    </row>
    <row r="176" spans="1:40" x14ac:dyDescent="0.2">
      <c r="A176" s="39">
        <v>173</v>
      </c>
      <c r="AJ176" s="25" t="s">
        <v>6</v>
      </c>
      <c r="AK176" s="4" t="s">
        <v>5</v>
      </c>
      <c r="AL176" s="4" t="s">
        <v>25</v>
      </c>
      <c r="AM176" s="4">
        <v>3</v>
      </c>
      <c r="AN176" s="26" t="str">
        <f t="shared" si="39"/>
        <v>LOM-SKY-6h-3</v>
      </c>
    </row>
    <row r="177" spans="1:40" x14ac:dyDescent="0.2">
      <c r="A177" s="39">
        <v>174</v>
      </c>
      <c r="AJ177" s="25" t="s">
        <v>6</v>
      </c>
      <c r="AK177" s="4" t="s">
        <v>5</v>
      </c>
      <c r="AL177" s="4" t="s">
        <v>25</v>
      </c>
      <c r="AM177" s="4">
        <v>8</v>
      </c>
      <c r="AN177" s="26" t="str">
        <f t="shared" si="39"/>
        <v>LOM-SKY-6h-8</v>
      </c>
    </row>
    <row r="178" spans="1:40" x14ac:dyDescent="0.2">
      <c r="A178" s="39">
        <v>175</v>
      </c>
      <c r="AJ178" s="25" t="s">
        <v>6</v>
      </c>
      <c r="AK178" s="4" t="s">
        <v>5</v>
      </c>
      <c r="AL178" s="4" t="s">
        <v>25</v>
      </c>
      <c r="AM178" s="4">
        <v>12</v>
      </c>
      <c r="AN178" s="26" t="str">
        <f t="shared" si="39"/>
        <v>LOM-SKY-6h-12</v>
      </c>
    </row>
    <row r="179" spans="1:40" x14ac:dyDescent="0.2">
      <c r="A179" s="39">
        <v>176</v>
      </c>
      <c r="AJ179" s="27" t="s">
        <v>6</v>
      </c>
      <c r="AK179" s="28" t="s">
        <v>5</v>
      </c>
      <c r="AL179" s="28" t="s">
        <v>25</v>
      </c>
      <c r="AM179" s="28">
        <v>15</v>
      </c>
      <c r="AN179" s="29" t="str">
        <f t="shared" si="39"/>
        <v>LOM-SKY-6h-15</v>
      </c>
    </row>
    <row r="180" spans="1:40" x14ac:dyDescent="0.2">
      <c r="A180" s="39">
        <v>177</v>
      </c>
      <c r="AJ180" s="22" t="s">
        <v>6</v>
      </c>
      <c r="AK180" s="23" t="s">
        <v>3</v>
      </c>
      <c r="AL180" s="23" t="s">
        <v>26</v>
      </c>
      <c r="AM180" s="23">
        <v>1</v>
      </c>
      <c r="AN180" s="24" t="str">
        <f t="shared" si="39"/>
        <v>LOM-ROS-24h-1</v>
      </c>
    </row>
    <row r="181" spans="1:40" x14ac:dyDescent="0.2">
      <c r="A181" s="39">
        <v>178</v>
      </c>
      <c r="AJ181" s="25" t="s">
        <v>6</v>
      </c>
      <c r="AK181" s="4" t="s">
        <v>3</v>
      </c>
      <c r="AL181" s="4" t="s">
        <v>26</v>
      </c>
      <c r="AM181" s="4">
        <v>2</v>
      </c>
      <c r="AN181" s="26" t="str">
        <f t="shared" si="39"/>
        <v>LOM-ROS-24h-2</v>
      </c>
    </row>
    <row r="182" spans="1:40" x14ac:dyDescent="0.2">
      <c r="A182" s="39">
        <v>179</v>
      </c>
      <c r="AJ182" s="25" t="s">
        <v>6</v>
      </c>
      <c r="AK182" s="4" t="s">
        <v>3</v>
      </c>
      <c r="AL182" s="4" t="s">
        <v>26</v>
      </c>
      <c r="AM182" s="4">
        <v>3</v>
      </c>
      <c r="AN182" s="26" t="str">
        <f t="shared" ref="AN182:AN207" si="40">_xlfn.CONCAT(AJ182,"-",AK182,"-",AL182,"-",AM182)</f>
        <v>LOM-ROS-24h-3</v>
      </c>
    </row>
    <row r="183" spans="1:40" x14ac:dyDescent="0.2">
      <c r="A183" s="39">
        <v>180</v>
      </c>
      <c r="AJ183" s="25" t="s">
        <v>6</v>
      </c>
      <c r="AK183" s="4" t="s">
        <v>3</v>
      </c>
      <c r="AL183" s="4" t="s">
        <v>26</v>
      </c>
      <c r="AM183" s="4">
        <v>8</v>
      </c>
      <c r="AN183" s="26" t="str">
        <f t="shared" si="40"/>
        <v>LOM-ROS-24h-8</v>
      </c>
    </row>
    <row r="184" spans="1:40" x14ac:dyDescent="0.2">
      <c r="A184" s="39">
        <v>181</v>
      </c>
      <c r="AJ184" s="25" t="s">
        <v>6</v>
      </c>
      <c r="AK184" s="4" t="s">
        <v>3</v>
      </c>
      <c r="AL184" s="4" t="s">
        <v>26</v>
      </c>
      <c r="AM184" s="4">
        <v>12</v>
      </c>
      <c r="AN184" s="26" t="str">
        <f t="shared" si="40"/>
        <v>LOM-ROS-24h-12</v>
      </c>
    </row>
    <row r="185" spans="1:40" x14ac:dyDescent="0.2">
      <c r="A185" s="39">
        <v>182</v>
      </c>
      <c r="AJ185" s="27" t="s">
        <v>6</v>
      </c>
      <c r="AK185" s="28" t="s">
        <v>3</v>
      </c>
      <c r="AL185" s="28" t="s">
        <v>26</v>
      </c>
      <c r="AM185" s="28">
        <v>15</v>
      </c>
      <c r="AN185" s="29" t="str">
        <f t="shared" si="40"/>
        <v>LOM-ROS-24h-15</v>
      </c>
    </row>
    <row r="186" spans="1:40" x14ac:dyDescent="0.2">
      <c r="A186" s="39">
        <v>183</v>
      </c>
      <c r="AJ186" s="22" t="s">
        <v>6</v>
      </c>
      <c r="AK186" s="23" t="s">
        <v>5</v>
      </c>
      <c r="AL186" s="23" t="s">
        <v>26</v>
      </c>
      <c r="AM186" s="23">
        <v>1</v>
      </c>
      <c r="AN186" s="24" t="str">
        <f t="shared" si="40"/>
        <v>LOM-SKY-24h-1</v>
      </c>
    </row>
    <row r="187" spans="1:40" x14ac:dyDescent="0.2">
      <c r="A187" s="39">
        <v>184</v>
      </c>
      <c r="AJ187" s="25" t="s">
        <v>6</v>
      </c>
      <c r="AK187" s="4" t="s">
        <v>5</v>
      </c>
      <c r="AL187" s="4" t="s">
        <v>26</v>
      </c>
      <c r="AM187" s="4">
        <v>2</v>
      </c>
      <c r="AN187" s="26" t="str">
        <f t="shared" si="40"/>
        <v>LOM-SKY-24h-2</v>
      </c>
    </row>
    <row r="188" spans="1:40" x14ac:dyDescent="0.2">
      <c r="A188" s="39">
        <v>185</v>
      </c>
      <c r="AJ188" s="25" t="s">
        <v>6</v>
      </c>
      <c r="AK188" s="4" t="s">
        <v>5</v>
      </c>
      <c r="AL188" s="4" t="s">
        <v>26</v>
      </c>
      <c r="AM188" s="4">
        <v>3</v>
      </c>
      <c r="AN188" s="26" t="str">
        <f t="shared" si="40"/>
        <v>LOM-SKY-24h-3</v>
      </c>
    </row>
    <row r="189" spans="1:40" x14ac:dyDescent="0.2">
      <c r="A189" s="39">
        <v>186</v>
      </c>
      <c r="AJ189" s="25" t="s">
        <v>6</v>
      </c>
      <c r="AK189" s="4" t="s">
        <v>5</v>
      </c>
      <c r="AL189" s="4" t="s">
        <v>26</v>
      </c>
      <c r="AM189" s="4">
        <v>8</v>
      </c>
      <c r="AN189" s="26" t="str">
        <f t="shared" si="40"/>
        <v>LOM-SKY-24h-8</v>
      </c>
    </row>
    <row r="190" spans="1:40" x14ac:dyDescent="0.2">
      <c r="A190" s="39">
        <v>187</v>
      </c>
      <c r="AJ190" s="25" t="s">
        <v>6</v>
      </c>
      <c r="AK190" s="4" t="s">
        <v>5</v>
      </c>
      <c r="AL190" s="4" t="s">
        <v>26</v>
      </c>
      <c r="AM190" s="4">
        <v>12</v>
      </c>
      <c r="AN190" s="26" t="str">
        <f t="shared" si="40"/>
        <v>LOM-SKY-24h-12</v>
      </c>
    </row>
    <row r="191" spans="1:40" x14ac:dyDescent="0.2">
      <c r="A191" s="39">
        <v>188</v>
      </c>
      <c r="AJ191" s="27" t="s">
        <v>6</v>
      </c>
      <c r="AK191" s="28" t="s">
        <v>5</v>
      </c>
      <c r="AL191" s="28" t="s">
        <v>26</v>
      </c>
      <c r="AM191" s="28">
        <v>15</v>
      </c>
      <c r="AN191" s="29" t="str">
        <f t="shared" si="40"/>
        <v>LOM-SKY-24h-15</v>
      </c>
    </row>
    <row r="192" spans="1:40" x14ac:dyDescent="0.2">
      <c r="A192" s="39">
        <v>189</v>
      </c>
      <c r="AJ192" s="22" t="s">
        <v>6</v>
      </c>
      <c r="AK192" s="23" t="s">
        <v>3</v>
      </c>
      <c r="AL192" s="23" t="s">
        <v>27</v>
      </c>
      <c r="AM192" s="23">
        <v>1</v>
      </c>
      <c r="AN192" s="24" t="str">
        <f t="shared" si="40"/>
        <v>LOM-ROS-48h-1</v>
      </c>
    </row>
    <row r="193" spans="1:40" x14ac:dyDescent="0.2">
      <c r="A193" s="39">
        <v>190</v>
      </c>
      <c r="AJ193" s="25" t="s">
        <v>6</v>
      </c>
      <c r="AK193" s="4" t="s">
        <v>3</v>
      </c>
      <c r="AL193" s="4" t="s">
        <v>27</v>
      </c>
      <c r="AM193" s="4">
        <v>2</v>
      </c>
      <c r="AN193" s="26" t="str">
        <f t="shared" si="40"/>
        <v>LOM-ROS-48h-2</v>
      </c>
    </row>
    <row r="194" spans="1:40" x14ac:dyDescent="0.2">
      <c r="A194" s="39">
        <v>191</v>
      </c>
      <c r="AJ194" s="25" t="s">
        <v>6</v>
      </c>
      <c r="AK194" s="4" t="s">
        <v>3</v>
      </c>
      <c r="AL194" s="4" t="s">
        <v>27</v>
      </c>
      <c r="AM194" s="4">
        <v>3</v>
      </c>
      <c r="AN194" s="26" t="str">
        <f t="shared" si="40"/>
        <v>LOM-ROS-48h-3</v>
      </c>
    </row>
    <row r="195" spans="1:40" x14ac:dyDescent="0.2">
      <c r="A195" s="39">
        <v>192</v>
      </c>
      <c r="AJ195" s="25" t="s">
        <v>6</v>
      </c>
      <c r="AK195" s="4" t="s">
        <v>3</v>
      </c>
      <c r="AL195" s="4" t="s">
        <v>27</v>
      </c>
      <c r="AM195" s="4">
        <v>8</v>
      </c>
      <c r="AN195" s="26" t="str">
        <f t="shared" si="40"/>
        <v>LOM-ROS-48h-8</v>
      </c>
    </row>
    <row r="196" spans="1:40" x14ac:dyDescent="0.2">
      <c r="A196" s="39">
        <v>193</v>
      </c>
      <c r="AJ196" s="25" t="s">
        <v>6</v>
      </c>
      <c r="AK196" s="4" t="s">
        <v>3</v>
      </c>
      <c r="AL196" s="4" t="s">
        <v>27</v>
      </c>
      <c r="AM196" s="4">
        <v>12</v>
      </c>
      <c r="AN196" s="26" t="str">
        <f t="shared" si="40"/>
        <v>LOM-ROS-48h-12</v>
      </c>
    </row>
    <row r="197" spans="1:40" x14ac:dyDescent="0.2">
      <c r="A197" s="39">
        <v>194</v>
      </c>
      <c r="AJ197" s="27" t="s">
        <v>6</v>
      </c>
      <c r="AK197" s="28" t="s">
        <v>3</v>
      </c>
      <c r="AL197" s="28" t="s">
        <v>27</v>
      </c>
      <c r="AM197" s="28">
        <v>15</v>
      </c>
      <c r="AN197" s="29" t="str">
        <f t="shared" si="40"/>
        <v>LOM-ROS-48h-15</v>
      </c>
    </row>
    <row r="198" spans="1:40" x14ac:dyDescent="0.2">
      <c r="A198" s="39">
        <v>195</v>
      </c>
      <c r="AJ198" s="22" t="s">
        <v>6</v>
      </c>
      <c r="AK198" s="23" t="s">
        <v>5</v>
      </c>
      <c r="AL198" s="23" t="s">
        <v>27</v>
      </c>
      <c r="AM198" s="23">
        <v>1</v>
      </c>
      <c r="AN198" s="24" t="str">
        <f t="shared" si="40"/>
        <v>LOM-SKY-48h-1</v>
      </c>
    </row>
    <row r="199" spans="1:40" x14ac:dyDescent="0.2">
      <c r="A199" s="39">
        <v>196</v>
      </c>
      <c r="AJ199" s="25" t="s">
        <v>6</v>
      </c>
      <c r="AK199" s="4" t="s">
        <v>5</v>
      </c>
      <c r="AL199" s="4" t="s">
        <v>27</v>
      </c>
      <c r="AM199" s="4">
        <v>2</v>
      </c>
      <c r="AN199" s="26" t="str">
        <f t="shared" si="40"/>
        <v>LOM-SKY-48h-2</v>
      </c>
    </row>
    <row r="200" spans="1:40" x14ac:dyDescent="0.2">
      <c r="A200" s="39">
        <v>197</v>
      </c>
      <c r="AJ200" s="25" t="s">
        <v>6</v>
      </c>
      <c r="AK200" s="4" t="s">
        <v>5</v>
      </c>
      <c r="AL200" s="4" t="s">
        <v>27</v>
      </c>
      <c r="AM200" s="4">
        <v>3</v>
      </c>
      <c r="AN200" s="26" t="str">
        <f t="shared" si="40"/>
        <v>LOM-SKY-48h-3</v>
      </c>
    </row>
    <row r="201" spans="1:40" x14ac:dyDescent="0.2">
      <c r="A201" s="39">
        <v>198</v>
      </c>
      <c r="AJ201" s="25" t="s">
        <v>6</v>
      </c>
      <c r="AK201" s="4" t="s">
        <v>5</v>
      </c>
      <c r="AL201" s="4" t="s">
        <v>27</v>
      </c>
      <c r="AM201" s="4">
        <v>8</v>
      </c>
      <c r="AN201" s="26" t="str">
        <f t="shared" si="40"/>
        <v>LOM-SKY-48h-8</v>
      </c>
    </row>
    <row r="202" spans="1:40" x14ac:dyDescent="0.2">
      <c r="A202" s="39">
        <v>199</v>
      </c>
      <c r="AJ202" s="25" t="s">
        <v>6</v>
      </c>
      <c r="AK202" s="4" t="s">
        <v>5</v>
      </c>
      <c r="AL202" s="4" t="s">
        <v>27</v>
      </c>
      <c r="AM202" s="4">
        <v>12</v>
      </c>
      <c r="AN202" s="26" t="str">
        <f t="shared" si="40"/>
        <v>LOM-SKY-48h-12</v>
      </c>
    </row>
    <row r="203" spans="1:40" x14ac:dyDescent="0.2">
      <c r="A203" s="39">
        <v>200</v>
      </c>
      <c r="AJ203" s="25" t="s">
        <v>6</v>
      </c>
      <c r="AK203" s="4" t="s">
        <v>5</v>
      </c>
      <c r="AL203" s="4" t="s">
        <v>27</v>
      </c>
      <c r="AM203" s="4">
        <v>15</v>
      </c>
      <c r="AN203" s="26" t="str">
        <f t="shared" si="40"/>
        <v>LOM-SKY-48h-15</v>
      </c>
    </row>
    <row r="204" spans="1:40" x14ac:dyDescent="0.2">
      <c r="A204" s="39">
        <v>201</v>
      </c>
      <c r="AJ204" s="22" t="s">
        <v>6</v>
      </c>
      <c r="AK204" s="23" t="s">
        <v>29</v>
      </c>
      <c r="AL204" s="23"/>
      <c r="AM204" s="23" t="s">
        <v>30</v>
      </c>
      <c r="AN204" s="24" t="str">
        <f t="shared" si="40"/>
        <v>LOM-BLANK--A</v>
      </c>
    </row>
    <row r="205" spans="1:40" x14ac:dyDescent="0.2">
      <c r="A205" s="39">
        <v>202</v>
      </c>
      <c r="AJ205" s="27" t="s">
        <v>6</v>
      </c>
      <c r="AK205" s="28" t="s">
        <v>29</v>
      </c>
      <c r="AL205" s="28"/>
      <c r="AM205" s="28" t="s">
        <v>31</v>
      </c>
      <c r="AN205" s="29" t="str">
        <f t="shared" si="40"/>
        <v>LOM-BLANK--B</v>
      </c>
    </row>
    <row r="206" spans="1:40" x14ac:dyDescent="0.2">
      <c r="A206" s="39">
        <v>203</v>
      </c>
      <c r="AJ206" s="25" t="s">
        <v>6</v>
      </c>
      <c r="AK206" s="4" t="s">
        <v>43</v>
      </c>
      <c r="AL206" s="4"/>
      <c r="AM206" s="4" t="s">
        <v>30</v>
      </c>
      <c r="AN206" s="26" t="str">
        <f t="shared" si="40"/>
        <v>LOM-AMBIENT--A</v>
      </c>
    </row>
    <row r="207" spans="1:40" x14ac:dyDescent="0.2">
      <c r="A207" s="39">
        <v>204</v>
      </c>
      <c r="AJ207" s="27" t="s">
        <v>6</v>
      </c>
      <c r="AK207" s="28" t="s">
        <v>43</v>
      </c>
      <c r="AL207" s="28"/>
      <c r="AM207" s="28" t="s">
        <v>31</v>
      </c>
      <c r="AN207" s="29" t="str">
        <f t="shared" si="40"/>
        <v>LOM-AMBIENT--B</v>
      </c>
    </row>
  </sheetData>
  <mergeCells count="12">
    <mergeCell ref="AP1:AS1"/>
    <mergeCell ref="AP2:AS2"/>
    <mergeCell ref="B2:F2"/>
    <mergeCell ref="B1:F1"/>
    <mergeCell ref="AB2:AF2"/>
    <mergeCell ref="AB1:AF1"/>
    <mergeCell ref="AJ1:AN1"/>
    <mergeCell ref="AJ2:AN2"/>
    <mergeCell ref="J2:N2"/>
    <mergeCell ref="J1:N1"/>
    <mergeCell ref="T2:X2"/>
    <mergeCell ref="T1:X1"/>
  </mergeCells>
  <conditionalFormatting sqref="AJ1:AJ207 AJ212:AJ1048576">
    <cfRule type="containsText" dxfId="9" priority="1" operator="containsText" text="LOM">
      <formula>NOT(ISERROR(SEARCH("LOM",AJ1)))</formula>
    </cfRule>
    <cfRule type="containsText" dxfId="8" priority="2" operator="containsText" text="PAL">
      <formula>NOT(ISERROR(SEARCH("PAL",AJ1)))</formula>
    </cfRule>
    <cfRule type="containsText" dxfId="7" priority="3" operator="containsText" text="JCR">
      <formula>NOT(ISERROR(SEARCH("JCR",AJ1)))</formula>
    </cfRule>
  </conditionalFormatting>
  <conditionalFormatting sqref="AK1:AK207 AK212:AK1048576">
    <cfRule type="containsText" dxfId="6" priority="4" operator="containsText" text="SKY">
      <formula>NOT(ISERROR(SEARCH("SKY",AK1)))</formula>
    </cfRule>
    <cfRule type="containsText" dxfId="5" priority="5" operator="containsText" text="ROS">
      <formula>NOT(ISERROR(SEARCH("ROS",AK1)))</formula>
    </cfRule>
  </conditionalFormatting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B67AD-4969-644D-B78F-99587A51A7C1}">
  <dimension ref="A1:L89"/>
  <sheetViews>
    <sheetView zoomScale="139" workbookViewId="0">
      <pane xSplit="2" ySplit="1" topLeftCell="F2" activePane="bottomRight" state="frozen"/>
      <selection pane="topRight" activeCell="C1" sqref="C1"/>
      <selection pane="bottomLeft" activeCell="A2" sqref="A2"/>
      <selection pane="bottomRight" activeCell="H6" sqref="H6"/>
    </sheetView>
  </sheetViews>
  <sheetFormatPr baseColWidth="10" defaultRowHeight="15" x14ac:dyDescent="0.2"/>
  <cols>
    <col min="2" max="2" width="24.33203125" bestFit="1" customWidth="1"/>
    <col min="5" max="5" width="18.33203125" style="55" bestFit="1" customWidth="1"/>
    <col min="6" max="6" width="17.83203125" style="55" bestFit="1" customWidth="1"/>
    <col min="7" max="7" width="14.6640625" customWidth="1"/>
    <col min="8" max="8" width="19.33203125" style="55" bestFit="1" customWidth="1"/>
    <col min="9" max="9" width="18.83203125" bestFit="1" customWidth="1"/>
    <col min="10" max="10" width="16.5" style="69" bestFit="1" customWidth="1"/>
    <col min="11" max="11" width="12.33203125" bestFit="1" customWidth="1"/>
    <col min="12" max="12" width="12" style="55" customWidth="1"/>
  </cols>
  <sheetData>
    <row r="1" spans="1:12" x14ac:dyDescent="0.2">
      <c r="A1" t="s">
        <v>122</v>
      </c>
      <c r="B1" s="39" t="s">
        <v>19</v>
      </c>
      <c r="C1" s="39" t="s">
        <v>59</v>
      </c>
      <c r="D1" s="39" t="s">
        <v>131</v>
      </c>
      <c r="E1" s="54" t="s">
        <v>125</v>
      </c>
      <c r="F1" s="54" t="s">
        <v>126</v>
      </c>
      <c r="G1" s="39" t="s">
        <v>129</v>
      </c>
      <c r="H1" s="54" t="s">
        <v>127</v>
      </c>
      <c r="I1" s="39" t="s">
        <v>128</v>
      </c>
      <c r="J1" s="68" t="s">
        <v>130</v>
      </c>
      <c r="K1" s="39" t="s">
        <v>132</v>
      </c>
      <c r="L1" s="54" t="s">
        <v>133</v>
      </c>
    </row>
    <row r="2" spans="1:12" x14ac:dyDescent="0.2">
      <c r="A2" t="s">
        <v>123</v>
      </c>
      <c r="B2" s="2" t="s">
        <v>45</v>
      </c>
      <c r="C2">
        <v>6.0259999999999998</v>
      </c>
      <c r="E2" s="55">
        <v>45776.625578703701</v>
      </c>
      <c r="F2" s="55">
        <v>45776.627083333333</v>
      </c>
      <c r="G2">
        <v>3</v>
      </c>
      <c r="H2" s="55" t="s">
        <v>35</v>
      </c>
      <c r="I2" t="s">
        <v>35</v>
      </c>
      <c r="J2" s="69" t="s">
        <v>35</v>
      </c>
      <c r="K2" s="53">
        <v>45776.691666666666</v>
      </c>
      <c r="L2" s="55">
        <v>45776.691666666666</v>
      </c>
    </row>
    <row r="3" spans="1:12" x14ac:dyDescent="0.2">
      <c r="A3" t="s">
        <v>123</v>
      </c>
      <c r="B3" s="10" t="s">
        <v>46</v>
      </c>
      <c r="C3">
        <v>6.0140000000000002</v>
      </c>
      <c r="E3" s="55">
        <v>45776.597222222219</v>
      </c>
      <c r="F3" s="55">
        <v>45776.599305555559</v>
      </c>
      <c r="G3">
        <v>1</v>
      </c>
      <c r="H3" s="55">
        <v>45776.765509259261</v>
      </c>
      <c r="I3" s="53">
        <v>45776.767361111109</v>
      </c>
      <c r="J3" s="69">
        <v>3</v>
      </c>
      <c r="K3" s="53">
        <v>45776.691666666666</v>
      </c>
      <c r="L3" s="55">
        <v>45776.736111111109</v>
      </c>
    </row>
    <row r="4" spans="1:12" x14ac:dyDescent="0.2">
      <c r="A4" t="s">
        <v>123</v>
      </c>
      <c r="B4" s="10" t="s">
        <v>47</v>
      </c>
      <c r="C4">
        <v>6</v>
      </c>
      <c r="D4" t="s">
        <v>149</v>
      </c>
      <c r="E4" s="55">
        <v>45776.601851851854</v>
      </c>
      <c r="F4" s="55">
        <v>45776.604513888888</v>
      </c>
      <c r="G4">
        <v>1</v>
      </c>
      <c r="H4" s="55">
        <v>45777.564814814818</v>
      </c>
      <c r="I4" s="53">
        <v>45777.566319444442</v>
      </c>
      <c r="J4" s="69">
        <v>3</v>
      </c>
      <c r="K4" s="53">
        <v>45776.691666666666</v>
      </c>
      <c r="L4" s="55">
        <v>45776.822916666664</v>
      </c>
    </row>
    <row r="5" spans="1:12" x14ac:dyDescent="0.2">
      <c r="A5" t="s">
        <v>123</v>
      </c>
      <c r="B5" s="10" t="s">
        <v>48</v>
      </c>
      <c r="C5">
        <v>6.0119999999999996</v>
      </c>
      <c r="E5" s="55">
        <v>45776.606481481482</v>
      </c>
      <c r="F5" s="55">
        <v>45776.60833333333</v>
      </c>
      <c r="G5">
        <v>3</v>
      </c>
      <c r="H5" s="55">
        <v>45777.568229166667</v>
      </c>
      <c r="I5" s="53">
        <v>45777.569444444445</v>
      </c>
      <c r="J5" s="69">
        <v>3</v>
      </c>
      <c r="K5" s="53">
        <v>45776.691666666666</v>
      </c>
      <c r="L5" s="55">
        <v>45776.942361111112</v>
      </c>
    </row>
    <row r="6" spans="1:12" x14ac:dyDescent="0.2">
      <c r="A6" t="s">
        <v>123</v>
      </c>
      <c r="B6" s="10" t="s">
        <v>49</v>
      </c>
      <c r="C6">
        <v>6.0039999999999996</v>
      </c>
      <c r="E6" s="55">
        <v>45776.610532407409</v>
      </c>
      <c r="F6" s="55">
        <v>45776.612847222219</v>
      </c>
      <c r="G6">
        <v>3</v>
      </c>
      <c r="H6" s="55">
        <v>45782.636111111111</v>
      </c>
      <c r="I6" s="53">
        <v>45782.637499999997</v>
      </c>
      <c r="J6" s="69">
        <v>3</v>
      </c>
      <c r="K6" s="53">
        <v>45776.691666666666</v>
      </c>
      <c r="L6" s="63">
        <v>45777.71597222222</v>
      </c>
    </row>
    <row r="7" spans="1:12" x14ac:dyDescent="0.2">
      <c r="A7" t="s">
        <v>123</v>
      </c>
      <c r="B7" s="10" t="s">
        <v>50</v>
      </c>
      <c r="C7">
        <v>6.1150000000000002</v>
      </c>
      <c r="E7" s="55">
        <v>45776.615162037036</v>
      </c>
      <c r="F7" s="55">
        <v>45776.616319444445</v>
      </c>
      <c r="G7">
        <v>3</v>
      </c>
      <c r="H7" s="55">
        <v>45782.638888888891</v>
      </c>
      <c r="I7" s="53">
        <v>45782.63958333333</v>
      </c>
      <c r="J7" s="69">
        <v>3</v>
      </c>
      <c r="K7" s="53">
        <v>45776.691666666666</v>
      </c>
      <c r="L7" s="63">
        <v>45778.736111111109</v>
      </c>
    </row>
    <row r="8" spans="1:12" x14ac:dyDescent="0.2">
      <c r="A8" t="s">
        <v>123</v>
      </c>
      <c r="B8" s="13" t="s">
        <v>51</v>
      </c>
      <c r="C8">
        <v>6.0019999999999998</v>
      </c>
      <c r="E8" s="55">
        <v>45776.620138888888</v>
      </c>
      <c r="F8" s="55">
        <v>0.62187499999999996</v>
      </c>
      <c r="G8">
        <v>3</v>
      </c>
      <c r="H8" s="55">
        <v>45782.641319444447</v>
      </c>
      <c r="I8" s="53">
        <v>45782.642013888886</v>
      </c>
      <c r="J8" s="69">
        <v>3</v>
      </c>
      <c r="K8" s="53">
        <v>45776.691666666666</v>
      </c>
      <c r="L8" s="63">
        <v>45779.738194444442</v>
      </c>
    </row>
    <row r="9" spans="1:12" x14ac:dyDescent="0.2">
      <c r="A9" t="s">
        <v>123</v>
      </c>
      <c r="B9" s="8" t="s">
        <v>52</v>
      </c>
      <c r="C9">
        <v>6.5750000000000002</v>
      </c>
      <c r="E9" s="55" t="s">
        <v>35</v>
      </c>
      <c r="F9" s="55" t="s">
        <v>35</v>
      </c>
      <c r="G9" t="s">
        <v>35</v>
      </c>
      <c r="H9" s="55" t="s">
        <v>35</v>
      </c>
      <c r="I9" s="55" t="s">
        <v>35</v>
      </c>
      <c r="K9" s="53">
        <v>45776.695138888892</v>
      </c>
      <c r="L9" s="55">
        <v>45776.695138888892</v>
      </c>
    </row>
    <row r="10" spans="1:12" x14ac:dyDescent="0.2">
      <c r="A10" t="s">
        <v>123</v>
      </c>
      <c r="B10" s="10" t="s">
        <v>53</v>
      </c>
      <c r="C10">
        <v>6.0030000000000001</v>
      </c>
      <c r="H10" s="55">
        <v>45776.771064814813</v>
      </c>
      <c r="I10" s="53">
        <v>45776.772916666669</v>
      </c>
      <c r="J10" s="69">
        <v>3</v>
      </c>
      <c r="K10" s="53">
        <v>45776.695138888892</v>
      </c>
      <c r="L10" s="55">
        <v>45776.742361111108</v>
      </c>
    </row>
    <row r="11" spans="1:12" x14ac:dyDescent="0.2">
      <c r="A11" t="s">
        <v>123</v>
      </c>
      <c r="B11" s="10" t="s">
        <v>54</v>
      </c>
      <c r="C11">
        <v>6.4020000000000001</v>
      </c>
      <c r="H11" s="55">
        <v>45777.571527777778</v>
      </c>
      <c r="I11" s="53">
        <v>45777.573958333334</v>
      </c>
      <c r="J11" s="69">
        <v>3</v>
      </c>
      <c r="K11" s="53">
        <v>45776.695138888892</v>
      </c>
      <c r="L11" s="55">
        <v>45776.822916666664</v>
      </c>
    </row>
    <row r="12" spans="1:12" x14ac:dyDescent="0.2">
      <c r="A12" t="s">
        <v>123</v>
      </c>
      <c r="B12" s="10" t="s">
        <v>55</v>
      </c>
      <c r="C12">
        <v>6.7949999999999999</v>
      </c>
      <c r="H12" s="55">
        <v>45777.575694444444</v>
      </c>
      <c r="I12" s="53">
        <v>45777.577430555553</v>
      </c>
      <c r="J12" s="69">
        <v>3</v>
      </c>
      <c r="K12" s="53">
        <v>45776.695138888892</v>
      </c>
      <c r="L12" s="55">
        <v>45776.942361111112</v>
      </c>
    </row>
    <row r="13" spans="1:12" x14ac:dyDescent="0.2">
      <c r="A13" t="s">
        <v>123</v>
      </c>
      <c r="B13" s="10" t="s">
        <v>56</v>
      </c>
      <c r="C13">
        <v>6.5090000000000003</v>
      </c>
      <c r="H13" s="55">
        <v>45782.643750000003</v>
      </c>
      <c r="I13" s="53">
        <v>45782.644444444442</v>
      </c>
      <c r="J13" s="69">
        <v>3</v>
      </c>
      <c r="K13" s="53">
        <v>45776.695138888892</v>
      </c>
      <c r="L13" s="63">
        <v>45777.71597222222</v>
      </c>
    </row>
    <row r="14" spans="1:12" x14ac:dyDescent="0.2">
      <c r="A14" t="s">
        <v>123</v>
      </c>
      <c r="B14" s="10" t="s">
        <v>57</v>
      </c>
      <c r="C14">
        <v>6.2770000000000001</v>
      </c>
      <c r="H14" s="55">
        <v>45782.64565972222</v>
      </c>
      <c r="I14" s="53">
        <v>45782.646354166667</v>
      </c>
      <c r="J14" s="69">
        <v>3</v>
      </c>
      <c r="K14" s="53">
        <v>45776.695138888892</v>
      </c>
      <c r="L14" s="63">
        <v>45778.736111111109</v>
      </c>
    </row>
    <row r="15" spans="1:12" x14ac:dyDescent="0.2">
      <c r="A15" t="s">
        <v>123</v>
      </c>
      <c r="B15" s="13" t="s">
        <v>58</v>
      </c>
      <c r="C15">
        <v>6.6059999999999999</v>
      </c>
      <c r="H15" s="55">
        <v>45782.647916666669</v>
      </c>
      <c r="I15" s="53">
        <v>45782.648611111108</v>
      </c>
      <c r="J15" s="69">
        <v>3</v>
      </c>
      <c r="K15" s="53">
        <v>45776.695138888892</v>
      </c>
      <c r="L15" s="63">
        <v>45779.738194444442</v>
      </c>
    </row>
    <row r="16" spans="1:12" x14ac:dyDescent="0.2">
      <c r="A16" t="s">
        <v>123</v>
      </c>
      <c r="B16" s="4" t="s">
        <v>60</v>
      </c>
      <c r="C16">
        <v>6.1150000000000002</v>
      </c>
      <c r="E16" s="55">
        <v>45776.643750000003</v>
      </c>
      <c r="F16" s="55">
        <v>45776.646180555559</v>
      </c>
      <c r="G16">
        <v>3</v>
      </c>
      <c r="H16" s="55" t="s">
        <v>35</v>
      </c>
      <c r="I16" t="s">
        <v>35</v>
      </c>
      <c r="J16" s="69" t="s">
        <v>35</v>
      </c>
      <c r="K16" s="53">
        <v>45776.695833333331</v>
      </c>
      <c r="L16" s="55">
        <v>45776.695833333331</v>
      </c>
    </row>
    <row r="17" spans="1:12" x14ac:dyDescent="0.2">
      <c r="A17" t="s">
        <v>123</v>
      </c>
      <c r="B17" s="26" t="s">
        <v>61</v>
      </c>
      <c r="C17">
        <v>6.26</v>
      </c>
      <c r="E17" s="55">
        <v>45776.654513888891</v>
      </c>
      <c r="F17" s="55">
        <v>45776.656828703701</v>
      </c>
      <c r="G17">
        <v>3</v>
      </c>
      <c r="H17" s="55">
        <v>45776.779166666667</v>
      </c>
      <c r="I17" s="55">
        <v>45776.779166666667</v>
      </c>
      <c r="J17" s="69">
        <v>3</v>
      </c>
      <c r="K17" s="53">
        <v>45776.695833333331</v>
      </c>
      <c r="L17" s="55">
        <v>45776.743055555555</v>
      </c>
    </row>
    <row r="18" spans="1:12" x14ac:dyDescent="0.2">
      <c r="A18" t="s">
        <v>123</v>
      </c>
      <c r="B18" s="26" t="s">
        <v>62</v>
      </c>
      <c r="C18">
        <v>6.19</v>
      </c>
      <c r="E18" s="55">
        <v>45776.660879629628</v>
      </c>
      <c r="F18" s="55">
        <v>45776.662615740737</v>
      </c>
      <c r="G18">
        <v>3</v>
      </c>
      <c r="H18" s="55">
        <v>45777.579513888886</v>
      </c>
      <c r="I18" s="53">
        <v>45777.580439814818</v>
      </c>
      <c r="J18" s="69">
        <v>3</v>
      </c>
      <c r="K18" s="53">
        <v>45776.695833333331</v>
      </c>
      <c r="L18" s="55">
        <v>45776.822916666664</v>
      </c>
    </row>
    <row r="19" spans="1:12" x14ac:dyDescent="0.2">
      <c r="A19" t="s">
        <v>123</v>
      </c>
      <c r="B19" s="26" t="s">
        <v>63</v>
      </c>
      <c r="C19">
        <v>6.0350000000000001</v>
      </c>
      <c r="H19" s="55">
        <v>45777.582407407404</v>
      </c>
      <c r="I19" s="53">
        <v>45777.583796296298</v>
      </c>
      <c r="J19" s="69">
        <v>3</v>
      </c>
      <c r="K19" s="53">
        <v>45776.695833333331</v>
      </c>
      <c r="L19" s="55">
        <v>45776.942361111112</v>
      </c>
    </row>
    <row r="20" spans="1:12" x14ac:dyDescent="0.2">
      <c r="A20" t="s">
        <v>123</v>
      </c>
      <c r="B20" s="26" t="s">
        <v>64</v>
      </c>
      <c r="C20">
        <v>6.1840000000000002</v>
      </c>
      <c r="D20" t="s">
        <v>172</v>
      </c>
      <c r="H20" s="55">
        <v>45782.649884259263</v>
      </c>
      <c r="I20" s="53">
        <v>45782.650578703702</v>
      </c>
      <c r="J20" s="69">
        <v>3</v>
      </c>
      <c r="K20" s="53">
        <v>45776.695833333331</v>
      </c>
      <c r="L20" s="63">
        <v>45777.71597222222</v>
      </c>
    </row>
    <row r="21" spans="1:12" x14ac:dyDescent="0.2">
      <c r="A21" t="s">
        <v>123</v>
      </c>
      <c r="B21" s="26" t="s">
        <v>65</v>
      </c>
      <c r="C21">
        <v>6.4329999999999998</v>
      </c>
      <c r="D21" t="s">
        <v>149</v>
      </c>
      <c r="H21" s="55">
        <v>45782.651620370372</v>
      </c>
      <c r="I21" s="53">
        <v>45782.652314814812</v>
      </c>
      <c r="J21" s="69">
        <v>3</v>
      </c>
      <c r="K21" s="53">
        <v>45776.695833333331</v>
      </c>
      <c r="L21" s="63">
        <v>45778.736111111109</v>
      </c>
    </row>
    <row r="22" spans="1:12" x14ac:dyDescent="0.2">
      <c r="A22" t="s">
        <v>123</v>
      </c>
      <c r="B22" s="29" t="s">
        <v>66</v>
      </c>
      <c r="C22">
        <v>6.0979999999999999</v>
      </c>
      <c r="H22" s="55">
        <v>45782.653703703705</v>
      </c>
      <c r="I22" s="53">
        <v>45782.654398148145</v>
      </c>
      <c r="J22" s="69">
        <v>3</v>
      </c>
      <c r="K22" s="53">
        <v>45776.695833333331</v>
      </c>
      <c r="L22" s="63">
        <v>45779.722222222219</v>
      </c>
    </row>
    <row r="23" spans="1:12" x14ac:dyDescent="0.2">
      <c r="A23" t="s">
        <v>123</v>
      </c>
      <c r="B23" s="24" t="s">
        <v>67</v>
      </c>
      <c r="C23">
        <v>6.2149999999999999</v>
      </c>
      <c r="H23" s="55" t="s">
        <v>35</v>
      </c>
      <c r="I23" t="s">
        <v>35</v>
      </c>
      <c r="J23" s="69" t="s">
        <v>35</v>
      </c>
      <c r="K23" s="53">
        <v>45776.697222222225</v>
      </c>
      <c r="L23" s="55">
        <v>45776.697222222225</v>
      </c>
    </row>
    <row r="24" spans="1:12" x14ac:dyDescent="0.2">
      <c r="A24" t="s">
        <v>123</v>
      </c>
      <c r="B24" s="26" t="s">
        <v>68</v>
      </c>
      <c r="C24">
        <v>6.0640000000000001</v>
      </c>
      <c r="H24" s="55">
        <v>45776.785763888889</v>
      </c>
      <c r="I24" s="53">
        <v>45776.787037037036</v>
      </c>
      <c r="J24" s="69">
        <v>3</v>
      </c>
      <c r="K24" s="53">
        <v>45776.697222222225</v>
      </c>
      <c r="L24" s="55">
        <v>45776.746527777781</v>
      </c>
    </row>
    <row r="25" spans="1:12" x14ac:dyDescent="0.2">
      <c r="A25" t="s">
        <v>123</v>
      </c>
      <c r="B25" s="26" t="s">
        <v>69</v>
      </c>
      <c r="C25">
        <v>6.0220000000000002</v>
      </c>
      <c r="H25" s="55">
        <v>45777.585416666669</v>
      </c>
      <c r="I25" s="53">
        <v>45777.586805555555</v>
      </c>
      <c r="J25" s="69">
        <v>3</v>
      </c>
      <c r="K25" s="53">
        <v>45776.697222222225</v>
      </c>
      <c r="L25" s="55">
        <v>45776.822916666664</v>
      </c>
    </row>
    <row r="26" spans="1:12" x14ac:dyDescent="0.2">
      <c r="A26" t="s">
        <v>123</v>
      </c>
      <c r="B26" s="26" t="s">
        <v>70</v>
      </c>
      <c r="C26">
        <v>6.2850000000000001</v>
      </c>
      <c r="H26" s="55">
        <v>45782.633159722223</v>
      </c>
      <c r="I26" s="53">
        <v>45782.634548611109</v>
      </c>
      <c r="J26" s="69">
        <v>3</v>
      </c>
      <c r="K26" s="53">
        <v>45777.490972222222</v>
      </c>
      <c r="L26" s="63">
        <v>45777.739583333336</v>
      </c>
    </row>
    <row r="27" spans="1:12" x14ac:dyDescent="0.2">
      <c r="A27" t="s">
        <v>123</v>
      </c>
      <c r="B27" s="26" t="s">
        <v>71</v>
      </c>
      <c r="C27">
        <v>6.2069999999999999</v>
      </c>
      <c r="H27" s="55">
        <v>45782.655787037038</v>
      </c>
      <c r="I27" s="53">
        <v>45782.656481481485</v>
      </c>
      <c r="J27" s="69">
        <v>3</v>
      </c>
      <c r="K27" s="53">
        <v>45776.697222222225</v>
      </c>
      <c r="L27" s="63">
        <v>45777.71597222222</v>
      </c>
    </row>
    <row r="28" spans="1:12" x14ac:dyDescent="0.2">
      <c r="A28" t="s">
        <v>123</v>
      </c>
      <c r="B28" s="26" t="s">
        <v>72</v>
      </c>
      <c r="C28">
        <v>6.0380000000000003</v>
      </c>
      <c r="H28" s="55">
        <v>45782.658796296295</v>
      </c>
      <c r="I28" s="53">
        <v>45782.659490740742</v>
      </c>
      <c r="J28" s="69">
        <v>3</v>
      </c>
      <c r="K28" s="53">
        <v>45776.697222222225</v>
      </c>
      <c r="L28" s="63">
        <v>45778.736111111109</v>
      </c>
    </row>
    <row r="29" spans="1:12" x14ac:dyDescent="0.2">
      <c r="A29" t="s">
        <v>123</v>
      </c>
      <c r="B29" s="29" t="s">
        <v>73</v>
      </c>
      <c r="C29">
        <v>6.0110000000000001</v>
      </c>
      <c r="H29" s="55">
        <v>45782.663194444445</v>
      </c>
      <c r="I29" s="53">
        <v>45782.663888888892</v>
      </c>
      <c r="J29" s="69">
        <v>3</v>
      </c>
      <c r="K29" s="53">
        <v>45776.697222222225</v>
      </c>
      <c r="L29" s="63">
        <v>45779.722222222219</v>
      </c>
    </row>
    <row r="30" spans="1:12" x14ac:dyDescent="0.2">
      <c r="A30" t="s">
        <v>124</v>
      </c>
      <c r="B30" s="10" t="s">
        <v>74</v>
      </c>
      <c r="C30">
        <v>6.2619999999999996</v>
      </c>
      <c r="H30" s="55">
        <v>45782.667013888888</v>
      </c>
      <c r="I30" s="53">
        <v>45782.667708333334</v>
      </c>
      <c r="J30" s="69">
        <v>3</v>
      </c>
      <c r="K30" s="53">
        <v>45776.723611111112</v>
      </c>
      <c r="L30" s="63">
        <v>45777.725694444445</v>
      </c>
    </row>
    <row r="31" spans="1:12" x14ac:dyDescent="0.2">
      <c r="A31" t="s">
        <v>124</v>
      </c>
      <c r="B31" s="10" t="s">
        <v>75</v>
      </c>
      <c r="C31">
        <v>6.24</v>
      </c>
      <c r="D31" t="s">
        <v>173</v>
      </c>
      <c r="H31" s="55">
        <v>45782.668749999997</v>
      </c>
      <c r="I31" s="53">
        <v>45782.669444444444</v>
      </c>
      <c r="J31" s="69">
        <v>3</v>
      </c>
      <c r="K31" s="53">
        <v>45776.723611111112</v>
      </c>
      <c r="L31" s="63">
        <v>45778.708333333336</v>
      </c>
    </row>
    <row r="32" spans="1:12" x14ac:dyDescent="0.2">
      <c r="A32" t="s">
        <v>124</v>
      </c>
      <c r="B32" s="13" t="s">
        <v>76</v>
      </c>
      <c r="C32">
        <v>6.0090000000000003</v>
      </c>
      <c r="H32" s="55">
        <v>45782.670659722222</v>
      </c>
      <c r="I32" s="53">
        <v>45782.671354166669</v>
      </c>
      <c r="J32" s="69">
        <v>3</v>
      </c>
      <c r="K32" s="53">
        <v>45776.723611111112</v>
      </c>
      <c r="L32" s="63">
        <v>45779.722222222219</v>
      </c>
    </row>
    <row r="33" spans="1:12" x14ac:dyDescent="0.2">
      <c r="A33" t="s">
        <v>124</v>
      </c>
      <c r="B33" s="10" t="s">
        <v>140</v>
      </c>
      <c r="C33">
        <v>6.08</v>
      </c>
      <c r="K33" s="53">
        <v>45776.723611111112</v>
      </c>
      <c r="L33" s="63">
        <v>45777.725694444445</v>
      </c>
    </row>
    <row r="34" spans="1:12" x14ac:dyDescent="0.2">
      <c r="A34" t="s">
        <v>124</v>
      </c>
      <c r="B34" s="10" t="s">
        <v>141</v>
      </c>
      <c r="C34">
        <v>6.2009999999999996</v>
      </c>
      <c r="K34" s="53">
        <v>45776.723611111112</v>
      </c>
      <c r="L34" s="63">
        <v>45778.708333333336</v>
      </c>
    </row>
    <row r="35" spans="1:12" x14ac:dyDescent="0.2">
      <c r="A35" t="s">
        <v>124</v>
      </c>
      <c r="B35" s="13" t="s">
        <v>142</v>
      </c>
      <c r="C35">
        <v>6.085</v>
      </c>
      <c r="K35" s="53">
        <v>45776.723611111112</v>
      </c>
      <c r="L35" s="63">
        <v>45779.722222222219</v>
      </c>
    </row>
    <row r="36" spans="1:12" x14ac:dyDescent="0.2">
      <c r="A36" t="s">
        <v>124</v>
      </c>
      <c r="B36" s="10" t="s">
        <v>77</v>
      </c>
      <c r="C36">
        <v>6.5780000000000003</v>
      </c>
      <c r="H36" s="55">
        <v>45782.672453703701</v>
      </c>
      <c r="I36" s="53">
        <v>45782.673148148147</v>
      </c>
      <c r="J36" s="69">
        <v>3</v>
      </c>
      <c r="K36" s="53">
        <v>45776.720833333333</v>
      </c>
      <c r="L36" s="63">
        <v>45777.725694444445</v>
      </c>
    </row>
    <row r="37" spans="1:12" x14ac:dyDescent="0.2">
      <c r="A37" t="s">
        <v>124</v>
      </c>
      <c r="B37" s="10" t="s">
        <v>78</v>
      </c>
      <c r="C37">
        <v>6.6059999999999999</v>
      </c>
      <c r="H37" s="55">
        <v>45782.674305555556</v>
      </c>
      <c r="I37" s="53">
        <v>45782.675000000003</v>
      </c>
      <c r="J37" s="69">
        <v>3</v>
      </c>
      <c r="K37" s="53">
        <v>45776.720833333333</v>
      </c>
      <c r="L37" s="63">
        <v>45778.708333333336</v>
      </c>
    </row>
    <row r="38" spans="1:12" x14ac:dyDescent="0.2">
      <c r="A38" t="s">
        <v>124</v>
      </c>
      <c r="B38" s="13" t="s">
        <v>79</v>
      </c>
      <c r="C38">
        <v>6.1929999999999996</v>
      </c>
      <c r="H38" s="55">
        <v>45782.677083333336</v>
      </c>
      <c r="I38" s="53">
        <v>45782.677777777775</v>
      </c>
      <c r="J38" s="69">
        <v>3</v>
      </c>
      <c r="K38" s="53">
        <v>45776.720833333333</v>
      </c>
      <c r="L38" s="63">
        <v>45779.722222222219</v>
      </c>
    </row>
    <row r="39" spans="1:12" x14ac:dyDescent="0.2">
      <c r="A39" t="s">
        <v>124</v>
      </c>
      <c r="B39" s="10" t="s">
        <v>137</v>
      </c>
      <c r="C39">
        <v>6.2229999999999999</v>
      </c>
      <c r="K39" s="53">
        <v>45776.720833333333</v>
      </c>
      <c r="L39" s="63">
        <v>45777.725694444445</v>
      </c>
    </row>
    <row r="40" spans="1:12" x14ac:dyDescent="0.2">
      <c r="A40" t="s">
        <v>124</v>
      </c>
      <c r="B40" s="10" t="s">
        <v>138</v>
      </c>
      <c r="C40">
        <v>6.1660000000000004</v>
      </c>
      <c r="K40" s="53">
        <v>45776.720833333333</v>
      </c>
      <c r="L40" s="63">
        <v>45778.708333333336</v>
      </c>
    </row>
    <row r="41" spans="1:12" x14ac:dyDescent="0.2">
      <c r="A41" t="s">
        <v>124</v>
      </c>
      <c r="B41" s="13" t="s">
        <v>139</v>
      </c>
      <c r="C41">
        <v>6.0209999999999999</v>
      </c>
      <c r="K41" s="53">
        <v>45776.720833333333</v>
      </c>
      <c r="L41" s="63">
        <v>45779.722222222219</v>
      </c>
    </row>
    <row r="42" spans="1:12" x14ac:dyDescent="0.2">
      <c r="A42" t="s">
        <v>124</v>
      </c>
      <c r="B42" s="26" t="s">
        <v>143</v>
      </c>
      <c r="C42">
        <v>6.1029999999999998</v>
      </c>
      <c r="K42" s="53">
        <v>45776.723611111112</v>
      </c>
      <c r="L42" s="63">
        <v>45777.725694444445</v>
      </c>
    </row>
    <row r="43" spans="1:12" x14ac:dyDescent="0.2">
      <c r="A43" t="s">
        <v>124</v>
      </c>
      <c r="B43" s="26" t="s">
        <v>144</v>
      </c>
      <c r="C43">
        <v>6.0720000000000001</v>
      </c>
      <c r="K43" s="53">
        <v>45776.723611111112</v>
      </c>
      <c r="L43" s="63">
        <v>45778.708333333336</v>
      </c>
    </row>
    <row r="44" spans="1:12" x14ac:dyDescent="0.2">
      <c r="A44" t="s">
        <v>124</v>
      </c>
      <c r="B44" s="29" t="s">
        <v>145</v>
      </c>
      <c r="C44">
        <v>6.0469999999999997</v>
      </c>
      <c r="K44" s="53">
        <v>45776.723611111112</v>
      </c>
      <c r="L44" s="63">
        <v>45779.722222222219</v>
      </c>
    </row>
    <row r="45" spans="1:12" x14ac:dyDescent="0.2">
      <c r="A45" t="s">
        <v>124</v>
      </c>
      <c r="B45" s="26" t="s">
        <v>80</v>
      </c>
      <c r="C45">
        <v>6.0119999999999996</v>
      </c>
      <c r="H45" s="55">
        <v>45782.679456018515</v>
      </c>
      <c r="I45" s="53">
        <v>45782.680150462962</v>
      </c>
      <c r="J45" s="69">
        <v>3</v>
      </c>
      <c r="K45" s="53">
        <v>45776.723611111112</v>
      </c>
      <c r="L45" s="63">
        <v>45777.725694444445</v>
      </c>
    </row>
    <row r="46" spans="1:12" x14ac:dyDescent="0.2">
      <c r="A46" t="s">
        <v>124</v>
      </c>
      <c r="B46" s="26" t="s">
        <v>81</v>
      </c>
      <c r="C46">
        <v>6.1719999999999997</v>
      </c>
      <c r="H46" s="55">
        <v>45782.681770833333</v>
      </c>
      <c r="I46" s="53">
        <v>45782.68246527778</v>
      </c>
      <c r="J46" s="69">
        <v>3</v>
      </c>
      <c r="K46" s="53">
        <v>45776.723611111112</v>
      </c>
      <c r="L46" s="63">
        <v>45778.708333333336</v>
      </c>
    </row>
    <row r="47" spans="1:12" x14ac:dyDescent="0.2">
      <c r="A47" t="s">
        <v>124</v>
      </c>
      <c r="B47" s="29" t="s">
        <v>82</v>
      </c>
      <c r="C47">
        <v>6.03</v>
      </c>
      <c r="H47" s="55">
        <v>45782.684953703705</v>
      </c>
      <c r="I47" s="53">
        <v>45782.685648148145</v>
      </c>
      <c r="J47" s="69">
        <v>3</v>
      </c>
      <c r="K47" s="53">
        <v>45776.723611111112</v>
      </c>
      <c r="L47" s="63">
        <v>45779.722222222219</v>
      </c>
    </row>
    <row r="48" spans="1:12" x14ac:dyDescent="0.2">
      <c r="A48" t="s">
        <v>124</v>
      </c>
      <c r="B48" s="26" t="s">
        <v>146</v>
      </c>
      <c r="C48">
        <v>6.1849999999999996</v>
      </c>
      <c r="K48" s="53">
        <v>45776.720833333333</v>
      </c>
      <c r="L48" s="63">
        <v>45777.725694444445</v>
      </c>
    </row>
    <row r="49" spans="1:12" x14ac:dyDescent="0.2">
      <c r="A49" t="s">
        <v>124</v>
      </c>
      <c r="B49" s="26" t="s">
        <v>147</v>
      </c>
      <c r="C49">
        <v>6.0350000000000001</v>
      </c>
      <c r="K49" s="53">
        <v>45776.720833333333</v>
      </c>
      <c r="L49" s="63">
        <v>45778.708333333336</v>
      </c>
    </row>
    <row r="50" spans="1:12" x14ac:dyDescent="0.2">
      <c r="A50" t="s">
        <v>124</v>
      </c>
      <c r="B50" s="29" t="s">
        <v>148</v>
      </c>
      <c r="C50">
        <v>6.1139999999999999</v>
      </c>
      <c r="K50" s="53">
        <v>45776.720833333333</v>
      </c>
      <c r="L50" s="63">
        <v>45779.722222222219</v>
      </c>
    </row>
    <row r="51" spans="1:12" x14ac:dyDescent="0.2">
      <c r="A51" t="s">
        <v>124</v>
      </c>
      <c r="B51" s="26" t="s">
        <v>83</v>
      </c>
      <c r="C51">
        <v>6.2510000000000003</v>
      </c>
      <c r="H51" s="55">
        <v>45782.687268518515</v>
      </c>
      <c r="I51" s="53">
        <v>45782.687962962962</v>
      </c>
      <c r="J51" s="69">
        <v>3</v>
      </c>
      <c r="K51" s="53">
        <v>45776.720833333333</v>
      </c>
      <c r="L51" s="63">
        <v>45777.725694444445</v>
      </c>
    </row>
    <row r="52" spans="1:12" x14ac:dyDescent="0.2">
      <c r="A52" t="s">
        <v>124</v>
      </c>
      <c r="B52" s="26" t="s">
        <v>84</v>
      </c>
      <c r="C52">
        <v>6.0419999999999998</v>
      </c>
      <c r="H52" s="55">
        <v>45782.689409722225</v>
      </c>
      <c r="I52" s="53">
        <v>45782.690104166664</v>
      </c>
      <c r="J52" s="69">
        <v>3</v>
      </c>
      <c r="K52" s="53">
        <v>45776.720833333333</v>
      </c>
      <c r="L52" s="63">
        <v>45778.708333333336</v>
      </c>
    </row>
    <row r="53" spans="1:12" x14ac:dyDescent="0.2">
      <c r="A53" t="s">
        <v>124</v>
      </c>
      <c r="B53" s="29" t="s">
        <v>85</v>
      </c>
      <c r="C53">
        <v>6.1589999999999998</v>
      </c>
      <c r="H53" s="55">
        <v>45782.691087962965</v>
      </c>
      <c r="I53" s="53">
        <v>45782.691782407404</v>
      </c>
      <c r="J53" s="69">
        <v>3</v>
      </c>
      <c r="K53" s="53">
        <v>45776.720833333333</v>
      </c>
      <c r="L53" s="63">
        <v>45779.722222222219</v>
      </c>
    </row>
    <row r="54" spans="1:12" x14ac:dyDescent="0.2">
      <c r="A54" t="s">
        <v>39</v>
      </c>
      <c r="B54" s="52" t="s">
        <v>86</v>
      </c>
      <c r="C54">
        <v>0.318</v>
      </c>
      <c r="E54" s="55" t="s">
        <v>35</v>
      </c>
      <c r="F54" s="55" t="s">
        <v>35</v>
      </c>
      <c r="G54" t="s">
        <v>35</v>
      </c>
      <c r="H54" s="55" t="s">
        <v>35</v>
      </c>
      <c r="I54" t="s">
        <v>35</v>
      </c>
      <c r="J54" s="69" t="s">
        <v>35</v>
      </c>
    </row>
    <row r="55" spans="1:12" x14ac:dyDescent="0.2">
      <c r="A55" t="s">
        <v>39</v>
      </c>
      <c r="B55" s="52" t="s">
        <v>87</v>
      </c>
      <c r="C55">
        <v>0.308</v>
      </c>
      <c r="E55" s="55" t="s">
        <v>35</v>
      </c>
      <c r="F55" s="55" t="s">
        <v>35</v>
      </c>
      <c r="G55" t="s">
        <v>35</v>
      </c>
      <c r="H55" s="55" t="s">
        <v>35</v>
      </c>
      <c r="I55" t="s">
        <v>35</v>
      </c>
      <c r="J55" s="69" t="s">
        <v>35</v>
      </c>
    </row>
    <row r="56" spans="1:12" x14ac:dyDescent="0.2">
      <c r="A56" t="s">
        <v>39</v>
      </c>
      <c r="B56" s="52" t="s">
        <v>88</v>
      </c>
      <c r="C56">
        <v>0.33</v>
      </c>
      <c r="E56" s="55" t="s">
        <v>35</v>
      </c>
      <c r="F56" s="55" t="s">
        <v>35</v>
      </c>
      <c r="G56" t="s">
        <v>35</v>
      </c>
      <c r="H56" s="55" t="s">
        <v>35</v>
      </c>
      <c r="I56" t="s">
        <v>35</v>
      </c>
      <c r="J56" s="69" t="s">
        <v>35</v>
      </c>
    </row>
    <row r="57" spans="1:12" x14ac:dyDescent="0.2">
      <c r="A57" t="s">
        <v>39</v>
      </c>
      <c r="B57" s="52" t="s">
        <v>89</v>
      </c>
      <c r="C57">
        <v>0.308</v>
      </c>
      <c r="E57" s="55" t="s">
        <v>35</v>
      </c>
      <c r="F57" s="55" t="s">
        <v>35</v>
      </c>
      <c r="G57" t="s">
        <v>35</v>
      </c>
      <c r="H57" s="55" t="s">
        <v>35</v>
      </c>
      <c r="I57" t="s">
        <v>35</v>
      </c>
      <c r="J57" s="69" t="s">
        <v>35</v>
      </c>
    </row>
    <row r="58" spans="1:12" x14ac:dyDescent="0.2">
      <c r="A58" t="s">
        <v>39</v>
      </c>
      <c r="B58" s="52" t="s">
        <v>90</v>
      </c>
      <c r="C58">
        <v>0.313</v>
      </c>
      <c r="E58" s="55" t="s">
        <v>35</v>
      </c>
      <c r="F58" s="55" t="s">
        <v>35</v>
      </c>
      <c r="G58" t="s">
        <v>35</v>
      </c>
      <c r="H58" s="55" t="s">
        <v>35</v>
      </c>
      <c r="I58" t="s">
        <v>35</v>
      </c>
      <c r="J58" s="69" t="s">
        <v>35</v>
      </c>
    </row>
    <row r="59" spans="1:12" x14ac:dyDescent="0.2">
      <c r="A59" t="s">
        <v>39</v>
      </c>
      <c r="B59" s="52" t="s">
        <v>91</v>
      </c>
      <c r="C59">
        <v>0.3</v>
      </c>
      <c r="E59" s="55" t="s">
        <v>35</v>
      </c>
      <c r="F59" s="55" t="s">
        <v>35</v>
      </c>
      <c r="G59" t="s">
        <v>35</v>
      </c>
      <c r="H59" s="55" t="s">
        <v>35</v>
      </c>
      <c r="I59" t="s">
        <v>35</v>
      </c>
      <c r="J59" s="69" t="s">
        <v>35</v>
      </c>
    </row>
    <row r="60" spans="1:12" x14ac:dyDescent="0.2">
      <c r="A60" t="s">
        <v>39</v>
      </c>
      <c r="B60" s="52" t="s">
        <v>92</v>
      </c>
      <c r="C60">
        <v>0.3</v>
      </c>
      <c r="E60" s="55" t="s">
        <v>35</v>
      </c>
      <c r="F60" s="55" t="s">
        <v>35</v>
      </c>
      <c r="G60" t="s">
        <v>35</v>
      </c>
      <c r="H60" s="55" t="s">
        <v>35</v>
      </c>
      <c r="I60" t="s">
        <v>35</v>
      </c>
      <c r="J60" s="69" t="s">
        <v>35</v>
      </c>
    </row>
    <row r="61" spans="1:12" x14ac:dyDescent="0.2">
      <c r="A61" t="s">
        <v>39</v>
      </c>
      <c r="B61" s="52" t="s">
        <v>93</v>
      </c>
      <c r="C61">
        <v>0.30499999999999999</v>
      </c>
      <c r="E61" s="55" t="s">
        <v>35</v>
      </c>
      <c r="F61" s="55" t="s">
        <v>35</v>
      </c>
      <c r="G61" t="s">
        <v>35</v>
      </c>
      <c r="H61" s="55" t="s">
        <v>35</v>
      </c>
      <c r="I61" t="s">
        <v>35</v>
      </c>
      <c r="J61" s="69" t="s">
        <v>35</v>
      </c>
    </row>
    <row r="62" spans="1:12" x14ac:dyDescent="0.2">
      <c r="A62" t="s">
        <v>39</v>
      </c>
      <c r="B62" s="52" t="s">
        <v>94</v>
      </c>
      <c r="C62">
        <v>0.314</v>
      </c>
      <c r="E62" s="55" t="s">
        <v>35</v>
      </c>
      <c r="F62" s="55" t="s">
        <v>35</v>
      </c>
      <c r="G62" t="s">
        <v>35</v>
      </c>
      <c r="H62" s="55" t="s">
        <v>35</v>
      </c>
      <c r="I62" t="s">
        <v>35</v>
      </c>
      <c r="J62" s="69" t="s">
        <v>35</v>
      </c>
    </row>
    <row r="63" spans="1:12" x14ac:dyDescent="0.2">
      <c r="A63" t="s">
        <v>39</v>
      </c>
      <c r="B63" s="52" t="s">
        <v>95</v>
      </c>
      <c r="C63">
        <v>0.307</v>
      </c>
      <c r="E63" s="55" t="s">
        <v>35</v>
      </c>
      <c r="F63" s="55" t="s">
        <v>35</v>
      </c>
      <c r="G63" t="s">
        <v>35</v>
      </c>
      <c r="H63" s="55" t="s">
        <v>35</v>
      </c>
      <c r="I63" t="s">
        <v>35</v>
      </c>
      <c r="J63" s="69" t="s">
        <v>35</v>
      </c>
    </row>
    <row r="64" spans="1:12" x14ac:dyDescent="0.2">
      <c r="A64" t="s">
        <v>39</v>
      </c>
      <c r="B64" s="52" t="s">
        <v>96</v>
      </c>
      <c r="C64">
        <v>0.30099999999999999</v>
      </c>
      <c r="E64" s="55" t="s">
        <v>35</v>
      </c>
      <c r="F64" s="55" t="s">
        <v>35</v>
      </c>
      <c r="G64" t="s">
        <v>35</v>
      </c>
      <c r="H64" s="55" t="s">
        <v>35</v>
      </c>
      <c r="I64" t="s">
        <v>35</v>
      </c>
      <c r="J64" s="69" t="s">
        <v>35</v>
      </c>
    </row>
    <row r="65" spans="1:10" x14ac:dyDescent="0.2">
      <c r="A65" t="s">
        <v>39</v>
      </c>
      <c r="B65" s="52" t="s">
        <v>97</v>
      </c>
      <c r="C65">
        <v>0.3</v>
      </c>
      <c r="E65" s="55" t="s">
        <v>35</v>
      </c>
      <c r="F65" s="55" t="s">
        <v>35</v>
      </c>
      <c r="G65" t="s">
        <v>35</v>
      </c>
      <c r="H65" s="55" t="s">
        <v>35</v>
      </c>
      <c r="I65" t="s">
        <v>35</v>
      </c>
      <c r="J65" s="69" t="s">
        <v>35</v>
      </c>
    </row>
    <row r="66" spans="1:10" x14ac:dyDescent="0.2">
      <c r="A66" t="s">
        <v>39</v>
      </c>
      <c r="B66" s="52" t="s">
        <v>98</v>
      </c>
      <c r="C66">
        <v>0.3</v>
      </c>
      <c r="E66" s="55" t="s">
        <v>35</v>
      </c>
      <c r="F66" s="55" t="s">
        <v>35</v>
      </c>
      <c r="G66" t="s">
        <v>35</v>
      </c>
      <c r="H66" s="55" t="s">
        <v>35</v>
      </c>
      <c r="I66" t="s">
        <v>35</v>
      </c>
      <c r="J66" s="69" t="s">
        <v>35</v>
      </c>
    </row>
    <row r="67" spans="1:10" x14ac:dyDescent="0.2">
      <c r="A67" t="s">
        <v>39</v>
      </c>
      <c r="B67" s="52" t="s">
        <v>99</v>
      </c>
      <c r="C67">
        <v>0.31</v>
      </c>
      <c r="E67" s="55" t="s">
        <v>35</v>
      </c>
      <c r="F67" s="55" t="s">
        <v>35</v>
      </c>
      <c r="G67" t="s">
        <v>35</v>
      </c>
      <c r="H67" s="55" t="s">
        <v>35</v>
      </c>
      <c r="I67" t="s">
        <v>35</v>
      </c>
      <c r="J67" s="69" t="s">
        <v>35</v>
      </c>
    </row>
    <row r="68" spans="1:10" x14ac:dyDescent="0.2">
      <c r="A68" t="s">
        <v>39</v>
      </c>
      <c r="B68" s="52" t="s">
        <v>100</v>
      </c>
      <c r="C68">
        <v>0.315</v>
      </c>
      <c r="E68" s="55" t="s">
        <v>35</v>
      </c>
      <c r="F68" s="55" t="s">
        <v>35</v>
      </c>
      <c r="G68" t="s">
        <v>35</v>
      </c>
      <c r="H68" s="55" t="s">
        <v>35</v>
      </c>
      <c r="I68" t="s">
        <v>35</v>
      </c>
      <c r="J68" s="69" t="s">
        <v>35</v>
      </c>
    </row>
    <row r="69" spans="1:10" x14ac:dyDescent="0.2">
      <c r="A69" t="s">
        <v>39</v>
      </c>
      <c r="B69" s="52" t="s">
        <v>101</v>
      </c>
      <c r="C69">
        <v>0.30399999999999999</v>
      </c>
      <c r="E69" s="55" t="s">
        <v>35</v>
      </c>
      <c r="F69" s="55" t="s">
        <v>35</v>
      </c>
      <c r="G69" t="s">
        <v>35</v>
      </c>
      <c r="H69" s="55" t="s">
        <v>35</v>
      </c>
      <c r="I69" t="s">
        <v>35</v>
      </c>
      <c r="J69" s="69" t="s">
        <v>35</v>
      </c>
    </row>
    <row r="70" spans="1:10" x14ac:dyDescent="0.2">
      <c r="A70" t="s">
        <v>39</v>
      </c>
      <c r="B70" s="52" t="s">
        <v>102</v>
      </c>
      <c r="C70">
        <v>0.31</v>
      </c>
      <c r="E70" s="55" t="s">
        <v>35</v>
      </c>
      <c r="F70" s="55" t="s">
        <v>35</v>
      </c>
      <c r="G70" t="s">
        <v>35</v>
      </c>
      <c r="H70" s="55" t="s">
        <v>35</v>
      </c>
      <c r="I70" t="s">
        <v>35</v>
      </c>
      <c r="J70" s="69" t="s">
        <v>35</v>
      </c>
    </row>
    <row r="71" spans="1:10" x14ac:dyDescent="0.2">
      <c r="A71" t="s">
        <v>39</v>
      </c>
      <c r="B71" s="52" t="s">
        <v>103</v>
      </c>
      <c r="C71">
        <v>0.31</v>
      </c>
      <c r="E71" s="55" t="s">
        <v>35</v>
      </c>
      <c r="F71" s="55" t="s">
        <v>35</v>
      </c>
      <c r="G71" t="s">
        <v>35</v>
      </c>
      <c r="H71" s="55" t="s">
        <v>35</v>
      </c>
      <c r="I71" t="s">
        <v>35</v>
      </c>
      <c r="J71" s="69" t="s">
        <v>35</v>
      </c>
    </row>
    <row r="72" spans="1:10" x14ac:dyDescent="0.2">
      <c r="A72" t="s">
        <v>39</v>
      </c>
      <c r="B72" s="4" t="s">
        <v>104</v>
      </c>
      <c r="C72">
        <v>0.30299999999999999</v>
      </c>
      <c r="E72" s="55" t="s">
        <v>35</v>
      </c>
      <c r="F72" s="55" t="s">
        <v>35</v>
      </c>
      <c r="G72" t="s">
        <v>35</v>
      </c>
      <c r="H72" s="55" t="s">
        <v>35</v>
      </c>
      <c r="I72" t="s">
        <v>35</v>
      </c>
      <c r="J72" s="69" t="s">
        <v>35</v>
      </c>
    </row>
    <row r="73" spans="1:10" x14ac:dyDescent="0.2">
      <c r="A73" t="s">
        <v>39</v>
      </c>
      <c r="B73" s="4" t="s">
        <v>105</v>
      </c>
      <c r="C73">
        <v>0.30499999999999999</v>
      </c>
      <c r="E73" s="55" t="s">
        <v>35</v>
      </c>
      <c r="F73" s="55" t="s">
        <v>35</v>
      </c>
      <c r="G73" t="s">
        <v>35</v>
      </c>
      <c r="H73" s="55" t="s">
        <v>35</v>
      </c>
      <c r="I73" t="s">
        <v>35</v>
      </c>
      <c r="J73" s="69" t="s">
        <v>35</v>
      </c>
    </row>
    <row r="74" spans="1:10" x14ac:dyDescent="0.2">
      <c r="A74" t="s">
        <v>39</v>
      </c>
      <c r="B74" s="4" t="s">
        <v>106</v>
      </c>
      <c r="C74">
        <v>0.309</v>
      </c>
      <c r="E74" s="55" t="s">
        <v>35</v>
      </c>
      <c r="F74" s="55" t="s">
        <v>35</v>
      </c>
      <c r="G74" t="s">
        <v>35</v>
      </c>
      <c r="H74" s="55" t="s">
        <v>35</v>
      </c>
      <c r="I74" t="s">
        <v>35</v>
      </c>
      <c r="J74" s="69" t="s">
        <v>35</v>
      </c>
    </row>
    <row r="75" spans="1:10" x14ac:dyDescent="0.2">
      <c r="A75" t="s">
        <v>39</v>
      </c>
      <c r="B75" s="4" t="s">
        <v>107</v>
      </c>
      <c r="C75">
        <v>0.315</v>
      </c>
      <c r="E75" s="55" t="s">
        <v>35</v>
      </c>
      <c r="F75" s="55" t="s">
        <v>35</v>
      </c>
      <c r="G75" t="s">
        <v>35</v>
      </c>
      <c r="H75" s="55" t="s">
        <v>35</v>
      </c>
      <c r="I75" t="s">
        <v>35</v>
      </c>
      <c r="J75" s="69" t="s">
        <v>35</v>
      </c>
    </row>
    <row r="76" spans="1:10" x14ac:dyDescent="0.2">
      <c r="A76" t="s">
        <v>39</v>
      </c>
      <c r="B76" s="4" t="s">
        <v>108</v>
      </c>
      <c r="C76">
        <v>0.309</v>
      </c>
      <c r="E76" s="55" t="s">
        <v>35</v>
      </c>
      <c r="F76" s="55" t="s">
        <v>35</v>
      </c>
      <c r="G76" t="s">
        <v>35</v>
      </c>
      <c r="H76" s="55" t="s">
        <v>35</v>
      </c>
      <c r="I76" t="s">
        <v>35</v>
      </c>
      <c r="J76" s="69" t="s">
        <v>35</v>
      </c>
    </row>
    <row r="77" spans="1:10" x14ac:dyDescent="0.2">
      <c r="A77" t="s">
        <v>39</v>
      </c>
      <c r="B77" s="4" t="s">
        <v>109</v>
      </c>
      <c r="C77">
        <v>0.316</v>
      </c>
      <c r="E77" s="55" t="s">
        <v>35</v>
      </c>
      <c r="F77" s="55" t="s">
        <v>35</v>
      </c>
      <c r="G77" t="s">
        <v>35</v>
      </c>
      <c r="H77" s="55" t="s">
        <v>35</v>
      </c>
      <c r="I77" t="s">
        <v>35</v>
      </c>
      <c r="J77" s="69" t="s">
        <v>35</v>
      </c>
    </row>
    <row r="78" spans="1:10" x14ac:dyDescent="0.2">
      <c r="A78" t="s">
        <v>39</v>
      </c>
      <c r="B78" s="4" t="s">
        <v>110</v>
      </c>
      <c r="C78">
        <v>0.30199999999999999</v>
      </c>
      <c r="E78" s="55" t="s">
        <v>35</v>
      </c>
      <c r="F78" s="55" t="s">
        <v>35</v>
      </c>
      <c r="G78" t="s">
        <v>35</v>
      </c>
      <c r="H78" s="55" t="s">
        <v>35</v>
      </c>
      <c r="I78" t="s">
        <v>35</v>
      </c>
      <c r="J78" s="69" t="s">
        <v>35</v>
      </c>
    </row>
    <row r="79" spans="1:10" x14ac:dyDescent="0.2">
      <c r="A79" t="s">
        <v>39</v>
      </c>
      <c r="B79" s="4" t="s">
        <v>111</v>
      </c>
      <c r="C79">
        <v>0.30199999999999999</v>
      </c>
      <c r="E79" s="55" t="s">
        <v>35</v>
      </c>
      <c r="F79" s="55" t="s">
        <v>35</v>
      </c>
      <c r="G79" t="s">
        <v>35</v>
      </c>
      <c r="H79" s="55" t="s">
        <v>35</v>
      </c>
      <c r="I79" t="s">
        <v>35</v>
      </c>
      <c r="J79" s="69" t="s">
        <v>35</v>
      </c>
    </row>
    <row r="80" spans="1:10" x14ac:dyDescent="0.2">
      <c r="A80" t="s">
        <v>39</v>
      </c>
      <c r="B80" s="4" t="s">
        <v>112</v>
      </c>
      <c r="C80">
        <v>0.309</v>
      </c>
      <c r="E80" s="55" t="s">
        <v>35</v>
      </c>
      <c r="F80" s="55" t="s">
        <v>35</v>
      </c>
      <c r="G80" t="s">
        <v>35</v>
      </c>
      <c r="H80" s="55" t="s">
        <v>35</v>
      </c>
      <c r="I80" t="s">
        <v>35</v>
      </c>
      <c r="J80" s="69" t="s">
        <v>35</v>
      </c>
    </row>
    <row r="81" spans="1:10" x14ac:dyDescent="0.2">
      <c r="A81" t="s">
        <v>39</v>
      </c>
      <c r="B81" s="4" t="s">
        <v>113</v>
      </c>
      <c r="C81">
        <v>0.308</v>
      </c>
      <c r="E81" s="55" t="s">
        <v>35</v>
      </c>
      <c r="F81" s="55" t="s">
        <v>35</v>
      </c>
      <c r="G81" t="s">
        <v>35</v>
      </c>
      <c r="H81" s="55" t="s">
        <v>35</v>
      </c>
      <c r="I81" t="s">
        <v>35</v>
      </c>
      <c r="J81" s="69" t="s">
        <v>35</v>
      </c>
    </row>
    <row r="82" spans="1:10" x14ac:dyDescent="0.2">
      <c r="A82" t="s">
        <v>39</v>
      </c>
      <c r="B82" s="4" t="s">
        <v>114</v>
      </c>
      <c r="C82">
        <v>0.317</v>
      </c>
      <c r="E82" s="55" t="s">
        <v>35</v>
      </c>
      <c r="F82" s="55" t="s">
        <v>35</v>
      </c>
      <c r="G82" t="s">
        <v>35</v>
      </c>
      <c r="H82" s="55" t="s">
        <v>35</v>
      </c>
      <c r="I82" t="s">
        <v>35</v>
      </c>
      <c r="J82" s="69" t="s">
        <v>35</v>
      </c>
    </row>
    <row r="83" spans="1:10" x14ac:dyDescent="0.2">
      <c r="A83" t="s">
        <v>39</v>
      </c>
      <c r="B83" s="4" t="s">
        <v>115</v>
      </c>
      <c r="C83">
        <v>0.309</v>
      </c>
      <c r="E83" s="55" t="s">
        <v>35</v>
      </c>
      <c r="F83" s="55" t="s">
        <v>35</v>
      </c>
      <c r="G83" t="s">
        <v>35</v>
      </c>
      <c r="H83" s="55" t="s">
        <v>35</v>
      </c>
      <c r="I83" t="s">
        <v>35</v>
      </c>
      <c r="J83" s="69" t="s">
        <v>35</v>
      </c>
    </row>
    <row r="84" spans="1:10" x14ac:dyDescent="0.2">
      <c r="A84" t="s">
        <v>39</v>
      </c>
      <c r="B84" s="4" t="s">
        <v>116</v>
      </c>
      <c r="C84">
        <v>0.312</v>
      </c>
      <c r="E84" s="55" t="s">
        <v>35</v>
      </c>
      <c r="F84" s="55" t="s">
        <v>35</v>
      </c>
      <c r="G84" t="s">
        <v>35</v>
      </c>
      <c r="H84" s="55" t="s">
        <v>35</v>
      </c>
      <c r="I84" t="s">
        <v>35</v>
      </c>
      <c r="J84" s="69" t="s">
        <v>35</v>
      </c>
    </row>
    <row r="85" spans="1:10" x14ac:dyDescent="0.2">
      <c r="A85" t="s">
        <v>39</v>
      </c>
      <c r="B85" s="4" t="s">
        <v>117</v>
      </c>
      <c r="C85">
        <v>0.313</v>
      </c>
      <c r="E85" s="55" t="s">
        <v>35</v>
      </c>
      <c r="F85" s="55" t="s">
        <v>35</v>
      </c>
      <c r="G85" t="s">
        <v>35</v>
      </c>
      <c r="H85" s="55" t="s">
        <v>35</v>
      </c>
      <c r="I85" t="s">
        <v>35</v>
      </c>
      <c r="J85" s="69" t="s">
        <v>35</v>
      </c>
    </row>
    <row r="86" spans="1:10" x14ac:dyDescent="0.2">
      <c r="A86" t="s">
        <v>39</v>
      </c>
      <c r="B86" s="4" t="s">
        <v>118</v>
      </c>
      <c r="C86">
        <v>0.29899999999999999</v>
      </c>
      <c r="E86" s="55" t="s">
        <v>35</v>
      </c>
      <c r="F86" s="55" t="s">
        <v>35</v>
      </c>
      <c r="G86" t="s">
        <v>35</v>
      </c>
      <c r="H86" s="55" t="s">
        <v>35</v>
      </c>
      <c r="I86" t="s">
        <v>35</v>
      </c>
      <c r="J86" s="69" t="s">
        <v>35</v>
      </c>
    </row>
    <row r="87" spans="1:10" x14ac:dyDescent="0.2">
      <c r="A87" t="s">
        <v>39</v>
      </c>
      <c r="B87" s="4" t="s">
        <v>119</v>
      </c>
      <c r="C87">
        <v>0.30499999999999999</v>
      </c>
      <c r="E87" s="55" t="s">
        <v>35</v>
      </c>
      <c r="F87" s="55" t="s">
        <v>35</v>
      </c>
      <c r="G87" t="s">
        <v>35</v>
      </c>
      <c r="H87" s="55" t="s">
        <v>35</v>
      </c>
      <c r="I87" t="s">
        <v>35</v>
      </c>
      <c r="J87" s="69" t="s">
        <v>35</v>
      </c>
    </row>
    <row r="88" spans="1:10" x14ac:dyDescent="0.2">
      <c r="A88" t="s">
        <v>39</v>
      </c>
      <c r="B88" s="4" t="s">
        <v>120</v>
      </c>
      <c r="C88">
        <v>0.313</v>
      </c>
      <c r="E88" s="55" t="s">
        <v>35</v>
      </c>
      <c r="F88" s="55" t="s">
        <v>35</v>
      </c>
      <c r="G88" t="s">
        <v>35</v>
      </c>
      <c r="H88" s="55" t="s">
        <v>35</v>
      </c>
      <c r="I88" t="s">
        <v>35</v>
      </c>
      <c r="J88" s="69" t="s">
        <v>35</v>
      </c>
    </row>
    <row r="89" spans="1:10" x14ac:dyDescent="0.2">
      <c r="A89" t="s">
        <v>39</v>
      </c>
      <c r="B89" s="4" t="s">
        <v>121</v>
      </c>
      <c r="C89">
        <v>0.308</v>
      </c>
      <c r="E89" s="55" t="s">
        <v>35</v>
      </c>
      <c r="F89" s="55" t="s">
        <v>35</v>
      </c>
      <c r="G89" t="s">
        <v>35</v>
      </c>
      <c r="H89" s="55" t="s">
        <v>35</v>
      </c>
      <c r="I89" t="s">
        <v>35</v>
      </c>
      <c r="J89" s="69" t="s">
        <v>35</v>
      </c>
    </row>
  </sheetData>
  <conditionalFormatting sqref="A1:A1048576"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C1:C1048576">
    <cfRule type="colorScale" priority="1">
      <colorScale>
        <cfvo type="min"/>
        <cfvo type="max"/>
        <color rgb="FFFCFCFF"/>
        <color rgb="FF63BE7B"/>
      </colorScale>
    </cfRule>
  </conditionalFormatting>
  <conditionalFormatting sqref="H51:I1048576 H1:I47">
    <cfRule type="colorScale" priority="6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J1:J47 J51:J1048576">
    <cfRule type="colorScale" priority="5">
      <colorScale>
        <cfvo type="min"/>
        <cfvo type="max"/>
        <color rgb="FFFCFCFF"/>
        <color rgb="FF63BE7B"/>
      </colorScale>
    </cfRule>
  </conditionalFormatting>
  <conditionalFormatting sqref="K1:K1048576">
    <cfRule type="colorScale" priority="4">
      <colorScale>
        <cfvo type="min"/>
        <cfvo type="max"/>
        <color rgb="FFFCFCFF"/>
        <color rgb="FF63BE7B"/>
      </colorScale>
    </cfRule>
    <cfRule type="colorScale" priority="8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L1:L1048576">
    <cfRule type="colorScale" priority="3">
      <colorScale>
        <cfvo type="min"/>
        <cfvo type="max"/>
        <color rgb="FFFCFCFF"/>
        <color rgb="FF63BE7B"/>
      </colorScale>
    </cfRule>
    <cfRule type="colorScale" priority="7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C24EF-EE54-1548-AB9E-492A73B1D1E0}">
  <dimension ref="A1:E208"/>
  <sheetViews>
    <sheetView zoomScale="174" workbookViewId="0">
      <selection activeCell="F3" sqref="F3"/>
    </sheetView>
  </sheetViews>
  <sheetFormatPr baseColWidth="10" defaultRowHeight="15" x14ac:dyDescent="0.2"/>
  <cols>
    <col min="1" max="1" width="8.83203125"/>
    <col min="2" max="2" width="9" customWidth="1"/>
    <col min="3" max="4" width="8.83203125"/>
    <col min="5" max="5" width="21.6640625" customWidth="1"/>
  </cols>
  <sheetData>
    <row r="1" spans="1:5" x14ac:dyDescent="0.2">
      <c r="A1" s="70" t="s">
        <v>18</v>
      </c>
      <c r="B1" s="70"/>
      <c r="C1" s="70"/>
      <c r="D1" s="70"/>
      <c r="E1" s="70"/>
    </row>
    <row r="2" spans="1:5" ht="62" customHeight="1" x14ac:dyDescent="0.2">
      <c r="A2" s="71" t="s">
        <v>150</v>
      </c>
      <c r="B2" s="71"/>
      <c r="C2" s="71"/>
      <c r="D2" s="71"/>
      <c r="E2" s="71"/>
    </row>
    <row r="3" spans="1:5" ht="83" customHeight="1" x14ac:dyDescent="0.2">
      <c r="A3" s="74" t="s">
        <v>152</v>
      </c>
      <c r="B3" s="74"/>
      <c r="C3" s="74"/>
      <c r="D3" s="74"/>
      <c r="E3" s="74"/>
    </row>
    <row r="4" spans="1:5" x14ac:dyDescent="0.2">
      <c r="A4" s="1" t="s">
        <v>0</v>
      </c>
      <c r="B4" s="1" t="s">
        <v>1</v>
      </c>
      <c r="C4" s="1" t="s">
        <v>16</v>
      </c>
      <c r="D4" s="1" t="s">
        <v>151</v>
      </c>
      <c r="E4" s="1" t="s">
        <v>19</v>
      </c>
    </row>
    <row r="5" spans="1:5" x14ac:dyDescent="0.2">
      <c r="A5" s="6" t="s">
        <v>2</v>
      </c>
      <c r="B5" s="7" t="s">
        <v>3</v>
      </c>
      <c r="C5" s="7" t="s">
        <v>23</v>
      </c>
      <c r="D5" s="7">
        <v>1</v>
      </c>
      <c r="E5" s="8" t="str">
        <f t="shared" ref="E5:E28" si="0">_xlfn.CONCAT(A5,"-",B5,"-",C5,"-",D5)</f>
        <v>JCR-ROS-pre-1</v>
      </c>
    </row>
    <row r="6" spans="1:5" x14ac:dyDescent="0.2">
      <c r="A6" s="9" t="s">
        <v>2</v>
      </c>
      <c r="B6" s="2" t="s">
        <v>3</v>
      </c>
      <c r="C6" s="2" t="s">
        <v>23</v>
      </c>
      <c r="D6" s="2">
        <v>2</v>
      </c>
      <c r="E6" s="10" t="str">
        <f t="shared" si="0"/>
        <v>JCR-ROS-pre-2</v>
      </c>
    </row>
    <row r="7" spans="1:5" x14ac:dyDescent="0.2">
      <c r="A7" s="9" t="s">
        <v>2</v>
      </c>
      <c r="B7" s="2" t="s">
        <v>3</v>
      </c>
      <c r="C7" s="2" t="s">
        <v>23</v>
      </c>
      <c r="D7" s="2">
        <v>3</v>
      </c>
      <c r="E7" s="10" t="str">
        <f t="shared" si="0"/>
        <v>JCR-ROS-pre-3</v>
      </c>
    </row>
    <row r="8" spans="1:5" x14ac:dyDescent="0.2">
      <c r="A8" s="9" t="s">
        <v>2</v>
      </c>
      <c r="B8" s="2" t="s">
        <v>3</v>
      </c>
      <c r="C8" s="2" t="s">
        <v>23</v>
      </c>
      <c r="D8" s="2">
        <v>8</v>
      </c>
      <c r="E8" s="10" t="str">
        <f t="shared" si="0"/>
        <v>JCR-ROS-pre-8</v>
      </c>
    </row>
    <row r="9" spans="1:5" x14ac:dyDescent="0.2">
      <c r="A9" s="9" t="s">
        <v>2</v>
      </c>
      <c r="B9" s="2" t="s">
        <v>3</v>
      </c>
      <c r="C9" s="2" t="s">
        <v>23</v>
      </c>
      <c r="D9" s="2">
        <v>12</v>
      </c>
      <c r="E9" s="10" t="str">
        <f t="shared" si="0"/>
        <v>JCR-ROS-pre-12</v>
      </c>
    </row>
    <row r="10" spans="1:5" x14ac:dyDescent="0.2">
      <c r="A10" s="11" t="s">
        <v>2</v>
      </c>
      <c r="B10" s="12" t="s">
        <v>3</v>
      </c>
      <c r="C10" s="12" t="s">
        <v>23</v>
      </c>
      <c r="D10" s="12">
        <v>15</v>
      </c>
      <c r="E10" s="13" t="str">
        <f t="shared" si="0"/>
        <v>JCR-ROS-pre-15</v>
      </c>
    </row>
    <row r="11" spans="1:5" x14ac:dyDescent="0.2">
      <c r="A11" s="6" t="s">
        <v>2</v>
      </c>
      <c r="B11" s="7" t="s">
        <v>5</v>
      </c>
      <c r="C11" s="7" t="s">
        <v>23</v>
      </c>
      <c r="D11" s="7">
        <v>1</v>
      </c>
      <c r="E11" s="8" t="str">
        <f t="shared" si="0"/>
        <v>JCR-SKY-pre-1</v>
      </c>
    </row>
    <row r="12" spans="1:5" x14ac:dyDescent="0.2">
      <c r="A12" s="9" t="s">
        <v>2</v>
      </c>
      <c r="B12" s="2" t="s">
        <v>5</v>
      </c>
      <c r="C12" s="2" t="s">
        <v>23</v>
      </c>
      <c r="D12" s="2">
        <v>2</v>
      </c>
      <c r="E12" s="10" t="str">
        <f t="shared" si="0"/>
        <v>JCR-SKY-pre-2</v>
      </c>
    </row>
    <row r="13" spans="1:5" x14ac:dyDescent="0.2">
      <c r="A13" s="9" t="s">
        <v>2</v>
      </c>
      <c r="B13" s="2" t="s">
        <v>5</v>
      </c>
      <c r="C13" s="2" t="s">
        <v>23</v>
      </c>
      <c r="D13" s="2">
        <v>3</v>
      </c>
      <c r="E13" s="10" t="str">
        <f t="shared" si="0"/>
        <v>JCR-SKY-pre-3</v>
      </c>
    </row>
    <row r="14" spans="1:5" x14ac:dyDescent="0.2">
      <c r="A14" s="9" t="s">
        <v>2</v>
      </c>
      <c r="B14" s="2" t="s">
        <v>5</v>
      </c>
      <c r="C14" s="2" t="s">
        <v>23</v>
      </c>
      <c r="D14" s="2">
        <v>8</v>
      </c>
      <c r="E14" s="10" t="str">
        <f t="shared" si="0"/>
        <v>JCR-SKY-pre-8</v>
      </c>
    </row>
    <row r="15" spans="1:5" x14ac:dyDescent="0.2">
      <c r="A15" s="9" t="s">
        <v>2</v>
      </c>
      <c r="B15" s="2" t="s">
        <v>5</v>
      </c>
      <c r="C15" s="2" t="s">
        <v>23</v>
      </c>
      <c r="D15" s="2">
        <v>12</v>
      </c>
      <c r="E15" s="10" t="str">
        <f t="shared" si="0"/>
        <v>JCR-SKY-pre-12</v>
      </c>
    </row>
    <row r="16" spans="1:5" x14ac:dyDescent="0.2">
      <c r="A16" s="11" t="s">
        <v>2</v>
      </c>
      <c r="B16" s="12" t="s">
        <v>5</v>
      </c>
      <c r="C16" s="12" t="s">
        <v>23</v>
      </c>
      <c r="D16" s="12">
        <v>15</v>
      </c>
      <c r="E16" s="13" t="str">
        <f t="shared" si="0"/>
        <v>JCR-SKY-pre-15</v>
      </c>
    </row>
    <row r="17" spans="1:5" x14ac:dyDescent="0.2">
      <c r="A17" s="6" t="s">
        <v>2</v>
      </c>
      <c r="B17" s="7" t="s">
        <v>3</v>
      </c>
      <c r="C17" s="7" t="s">
        <v>44</v>
      </c>
      <c r="D17" s="7">
        <v>1</v>
      </c>
      <c r="E17" s="8" t="str">
        <f t="shared" si="0"/>
        <v>JCR-ROS-0.5hr-1</v>
      </c>
    </row>
    <row r="18" spans="1:5" x14ac:dyDescent="0.2">
      <c r="A18" s="9" t="s">
        <v>2</v>
      </c>
      <c r="B18" s="2" t="s">
        <v>3</v>
      </c>
      <c r="C18" s="2" t="s">
        <v>44</v>
      </c>
      <c r="D18" s="2">
        <v>2</v>
      </c>
      <c r="E18" s="10" t="str">
        <f t="shared" si="0"/>
        <v>JCR-ROS-0.5hr-2</v>
      </c>
    </row>
    <row r="19" spans="1:5" x14ac:dyDescent="0.2">
      <c r="A19" s="9" t="s">
        <v>2</v>
      </c>
      <c r="B19" s="2" t="s">
        <v>3</v>
      </c>
      <c r="C19" s="2" t="s">
        <v>44</v>
      </c>
      <c r="D19" s="2">
        <v>3</v>
      </c>
      <c r="E19" s="10" t="str">
        <f t="shared" si="0"/>
        <v>JCR-ROS-0.5hr-3</v>
      </c>
    </row>
    <row r="20" spans="1:5" x14ac:dyDescent="0.2">
      <c r="A20" s="9" t="s">
        <v>2</v>
      </c>
      <c r="B20" s="2" t="s">
        <v>3</v>
      </c>
      <c r="C20" s="2" t="s">
        <v>44</v>
      </c>
      <c r="D20" s="2">
        <v>8</v>
      </c>
      <c r="E20" s="10" t="str">
        <f t="shared" si="0"/>
        <v>JCR-ROS-0.5hr-8</v>
      </c>
    </row>
    <row r="21" spans="1:5" x14ac:dyDescent="0.2">
      <c r="A21" s="9" t="s">
        <v>2</v>
      </c>
      <c r="B21" s="2" t="s">
        <v>3</v>
      </c>
      <c r="C21" s="2" t="s">
        <v>44</v>
      </c>
      <c r="D21" s="2">
        <v>12</v>
      </c>
      <c r="E21" s="10" t="str">
        <f t="shared" si="0"/>
        <v>JCR-ROS-0.5hr-12</v>
      </c>
    </row>
    <row r="22" spans="1:5" x14ac:dyDescent="0.2">
      <c r="A22" s="11" t="s">
        <v>2</v>
      </c>
      <c r="B22" s="12" t="s">
        <v>3</v>
      </c>
      <c r="C22" s="12" t="s">
        <v>44</v>
      </c>
      <c r="D22" s="12">
        <v>15</v>
      </c>
      <c r="E22" s="13" t="str">
        <f t="shared" si="0"/>
        <v>JCR-ROS-0.5hr-15</v>
      </c>
    </row>
    <row r="23" spans="1:5" x14ac:dyDescent="0.2">
      <c r="A23" s="6" t="s">
        <v>2</v>
      </c>
      <c r="B23" s="7" t="s">
        <v>5</v>
      </c>
      <c r="C23" s="7" t="s">
        <v>44</v>
      </c>
      <c r="D23" s="7">
        <v>1</v>
      </c>
      <c r="E23" s="8" t="str">
        <f t="shared" si="0"/>
        <v>JCR-SKY-0.5hr-1</v>
      </c>
    </row>
    <row r="24" spans="1:5" x14ac:dyDescent="0.2">
      <c r="A24" s="9" t="s">
        <v>2</v>
      </c>
      <c r="B24" s="2" t="s">
        <v>5</v>
      </c>
      <c r="C24" s="2" t="s">
        <v>44</v>
      </c>
      <c r="D24" s="2">
        <v>2</v>
      </c>
      <c r="E24" s="10" t="str">
        <f t="shared" si="0"/>
        <v>JCR-SKY-0.5hr-2</v>
      </c>
    </row>
    <row r="25" spans="1:5" x14ac:dyDescent="0.2">
      <c r="A25" s="9" t="s">
        <v>2</v>
      </c>
      <c r="B25" s="2" t="s">
        <v>5</v>
      </c>
      <c r="C25" s="2" t="s">
        <v>44</v>
      </c>
      <c r="D25" s="2">
        <v>3</v>
      </c>
      <c r="E25" s="10" t="str">
        <f t="shared" si="0"/>
        <v>JCR-SKY-0.5hr-3</v>
      </c>
    </row>
    <row r="26" spans="1:5" x14ac:dyDescent="0.2">
      <c r="A26" s="9" t="s">
        <v>2</v>
      </c>
      <c r="B26" s="2" t="s">
        <v>5</v>
      </c>
      <c r="C26" s="2" t="s">
        <v>44</v>
      </c>
      <c r="D26" s="2">
        <v>8</v>
      </c>
      <c r="E26" s="10" t="str">
        <f t="shared" si="0"/>
        <v>JCR-SKY-0.5hr-8</v>
      </c>
    </row>
    <row r="27" spans="1:5" x14ac:dyDescent="0.2">
      <c r="A27" s="9" t="s">
        <v>2</v>
      </c>
      <c r="B27" s="2" t="s">
        <v>5</v>
      </c>
      <c r="C27" s="2" t="s">
        <v>44</v>
      </c>
      <c r="D27" s="2">
        <v>12</v>
      </c>
      <c r="E27" s="10" t="str">
        <f t="shared" si="0"/>
        <v>JCR-SKY-0.5hr-12</v>
      </c>
    </row>
    <row r="28" spans="1:5" x14ac:dyDescent="0.2">
      <c r="A28" s="11" t="s">
        <v>2</v>
      </c>
      <c r="B28" s="12" t="s">
        <v>5</v>
      </c>
      <c r="C28" s="12" t="s">
        <v>44</v>
      </c>
      <c r="D28" s="12">
        <v>15</v>
      </c>
      <c r="E28" s="13" t="str">
        <f t="shared" si="0"/>
        <v>JCR-SKY-0.5hr-15</v>
      </c>
    </row>
    <row r="29" spans="1:5" x14ac:dyDescent="0.2">
      <c r="A29" s="6" t="s">
        <v>2</v>
      </c>
      <c r="B29" s="7" t="s">
        <v>3</v>
      </c>
      <c r="C29" s="7" t="s">
        <v>24</v>
      </c>
      <c r="D29" s="7">
        <v>1</v>
      </c>
      <c r="E29" s="8" t="str">
        <f>_xlfn.CONCAT(A29,"-",B29,"-",C29,"-",D29)</f>
        <v>JCR-ROS-1h-1</v>
      </c>
    </row>
    <row r="30" spans="1:5" x14ac:dyDescent="0.2">
      <c r="A30" s="9" t="s">
        <v>2</v>
      </c>
      <c r="B30" s="2" t="s">
        <v>3</v>
      </c>
      <c r="C30" s="2" t="s">
        <v>24</v>
      </c>
      <c r="D30" s="2">
        <v>2</v>
      </c>
      <c r="E30" s="10" t="str">
        <f t="shared" ref="E30:E34" si="1">_xlfn.CONCAT(A30,"-",B30,"-",C30,"-",D30)</f>
        <v>JCR-ROS-1h-2</v>
      </c>
    </row>
    <row r="31" spans="1:5" x14ac:dyDescent="0.2">
      <c r="A31" s="9" t="s">
        <v>2</v>
      </c>
      <c r="B31" s="2" t="s">
        <v>3</v>
      </c>
      <c r="C31" s="2" t="s">
        <v>24</v>
      </c>
      <c r="D31" s="2">
        <v>3</v>
      </c>
      <c r="E31" s="10" t="str">
        <f t="shared" si="1"/>
        <v>JCR-ROS-1h-3</v>
      </c>
    </row>
    <row r="32" spans="1:5" x14ac:dyDescent="0.2">
      <c r="A32" s="9" t="s">
        <v>2</v>
      </c>
      <c r="B32" s="2" t="s">
        <v>3</v>
      </c>
      <c r="C32" s="2" t="s">
        <v>24</v>
      </c>
      <c r="D32" s="2">
        <v>8</v>
      </c>
      <c r="E32" s="10" t="str">
        <f t="shared" si="1"/>
        <v>JCR-ROS-1h-8</v>
      </c>
    </row>
    <row r="33" spans="1:5" x14ac:dyDescent="0.2">
      <c r="A33" s="9" t="s">
        <v>2</v>
      </c>
      <c r="B33" s="2" t="s">
        <v>3</v>
      </c>
      <c r="C33" s="2" t="s">
        <v>24</v>
      </c>
      <c r="D33" s="2">
        <v>12</v>
      </c>
      <c r="E33" s="10" t="str">
        <f t="shared" si="1"/>
        <v>JCR-ROS-1h-12</v>
      </c>
    </row>
    <row r="34" spans="1:5" x14ac:dyDescent="0.2">
      <c r="A34" s="11" t="s">
        <v>2</v>
      </c>
      <c r="B34" s="12" t="s">
        <v>3</v>
      </c>
      <c r="C34" s="12" t="s">
        <v>24</v>
      </c>
      <c r="D34" s="12">
        <v>15</v>
      </c>
      <c r="E34" s="13" t="str">
        <f t="shared" si="1"/>
        <v>JCR-ROS-1h-15</v>
      </c>
    </row>
    <row r="35" spans="1:5" x14ac:dyDescent="0.2">
      <c r="A35" s="6" t="s">
        <v>2</v>
      </c>
      <c r="B35" s="7" t="s">
        <v>5</v>
      </c>
      <c r="C35" s="7" t="s">
        <v>24</v>
      </c>
      <c r="D35" s="7">
        <v>1</v>
      </c>
      <c r="E35" s="8" t="str">
        <f>_xlfn.CONCAT(A35,"-",B35,"-",C35,"-",D35)</f>
        <v>JCR-SKY-1h-1</v>
      </c>
    </row>
    <row r="36" spans="1:5" x14ac:dyDescent="0.2">
      <c r="A36" s="9" t="s">
        <v>2</v>
      </c>
      <c r="B36" s="2" t="s">
        <v>5</v>
      </c>
      <c r="C36" s="2" t="s">
        <v>24</v>
      </c>
      <c r="D36" s="2">
        <v>2</v>
      </c>
      <c r="E36" s="10" t="str">
        <f t="shared" ref="E36:E40" si="2">_xlfn.CONCAT(A36,"-",B36,"-",C36,"-",D36)</f>
        <v>JCR-SKY-1h-2</v>
      </c>
    </row>
    <row r="37" spans="1:5" x14ac:dyDescent="0.2">
      <c r="A37" s="9" t="s">
        <v>2</v>
      </c>
      <c r="B37" s="2" t="s">
        <v>5</v>
      </c>
      <c r="C37" s="2" t="s">
        <v>24</v>
      </c>
      <c r="D37" s="2">
        <v>3</v>
      </c>
      <c r="E37" s="10" t="str">
        <f t="shared" si="2"/>
        <v>JCR-SKY-1h-3</v>
      </c>
    </row>
    <row r="38" spans="1:5" x14ac:dyDescent="0.2">
      <c r="A38" s="9" t="s">
        <v>2</v>
      </c>
      <c r="B38" s="2" t="s">
        <v>5</v>
      </c>
      <c r="C38" s="2" t="s">
        <v>24</v>
      </c>
      <c r="D38" s="2">
        <v>8</v>
      </c>
      <c r="E38" s="10" t="str">
        <f t="shared" si="2"/>
        <v>JCR-SKY-1h-8</v>
      </c>
    </row>
    <row r="39" spans="1:5" x14ac:dyDescent="0.2">
      <c r="A39" s="9" t="s">
        <v>2</v>
      </c>
      <c r="B39" s="2" t="s">
        <v>5</v>
      </c>
      <c r="C39" s="2" t="s">
        <v>24</v>
      </c>
      <c r="D39" s="2">
        <v>12</v>
      </c>
      <c r="E39" s="10" t="str">
        <f t="shared" si="2"/>
        <v>JCR-SKY-1h-12</v>
      </c>
    </row>
    <row r="40" spans="1:5" x14ac:dyDescent="0.2">
      <c r="A40" s="11" t="s">
        <v>2</v>
      </c>
      <c r="B40" s="12" t="s">
        <v>5</v>
      </c>
      <c r="C40" s="12" t="s">
        <v>24</v>
      </c>
      <c r="D40" s="12">
        <v>15</v>
      </c>
      <c r="E40" s="13" t="str">
        <f t="shared" si="2"/>
        <v>JCR-SKY-1h-15</v>
      </c>
    </row>
    <row r="41" spans="1:5" x14ac:dyDescent="0.2">
      <c r="A41" s="6" t="s">
        <v>2</v>
      </c>
      <c r="B41" s="7" t="s">
        <v>3</v>
      </c>
      <c r="C41" s="7" t="s">
        <v>25</v>
      </c>
      <c r="D41" s="7">
        <v>1</v>
      </c>
      <c r="E41" s="8" t="str">
        <f>_xlfn.CONCAT(A41,"-",B41,"-",C41,"-",D41)</f>
        <v>JCR-ROS-6h-1</v>
      </c>
    </row>
    <row r="42" spans="1:5" x14ac:dyDescent="0.2">
      <c r="A42" s="9" t="s">
        <v>2</v>
      </c>
      <c r="B42" s="2" t="s">
        <v>3</v>
      </c>
      <c r="C42" s="2" t="s">
        <v>25</v>
      </c>
      <c r="D42" s="2">
        <v>2</v>
      </c>
      <c r="E42" s="10" t="str">
        <f t="shared" ref="E42:E46" si="3">_xlfn.CONCAT(A42,"-",B42,"-",C42,"-",D42)</f>
        <v>JCR-ROS-6h-2</v>
      </c>
    </row>
    <row r="43" spans="1:5" x14ac:dyDescent="0.2">
      <c r="A43" s="9" t="s">
        <v>2</v>
      </c>
      <c r="B43" s="2" t="s">
        <v>3</v>
      </c>
      <c r="C43" s="2" t="s">
        <v>25</v>
      </c>
      <c r="D43" s="2">
        <v>3</v>
      </c>
      <c r="E43" s="10" t="str">
        <f t="shared" si="3"/>
        <v>JCR-ROS-6h-3</v>
      </c>
    </row>
    <row r="44" spans="1:5" x14ac:dyDescent="0.2">
      <c r="A44" s="9" t="s">
        <v>2</v>
      </c>
      <c r="B44" s="2" t="s">
        <v>3</v>
      </c>
      <c r="C44" s="2" t="s">
        <v>25</v>
      </c>
      <c r="D44" s="2">
        <v>8</v>
      </c>
      <c r="E44" s="10" t="str">
        <f t="shared" si="3"/>
        <v>JCR-ROS-6h-8</v>
      </c>
    </row>
    <row r="45" spans="1:5" x14ac:dyDescent="0.2">
      <c r="A45" s="9" t="s">
        <v>2</v>
      </c>
      <c r="B45" s="2" t="s">
        <v>3</v>
      </c>
      <c r="C45" s="2" t="s">
        <v>25</v>
      </c>
      <c r="D45" s="2">
        <v>12</v>
      </c>
      <c r="E45" s="10" t="str">
        <f t="shared" si="3"/>
        <v>JCR-ROS-6h-12</v>
      </c>
    </row>
    <row r="46" spans="1:5" x14ac:dyDescent="0.2">
      <c r="A46" s="11" t="s">
        <v>2</v>
      </c>
      <c r="B46" s="12" t="s">
        <v>3</v>
      </c>
      <c r="C46" s="12" t="s">
        <v>25</v>
      </c>
      <c r="D46" s="12">
        <v>15</v>
      </c>
      <c r="E46" s="13" t="str">
        <f t="shared" si="3"/>
        <v>JCR-ROS-6h-15</v>
      </c>
    </row>
    <row r="47" spans="1:5" x14ac:dyDescent="0.2">
      <c r="A47" s="6" t="s">
        <v>2</v>
      </c>
      <c r="B47" s="7" t="s">
        <v>5</v>
      </c>
      <c r="C47" s="7" t="s">
        <v>25</v>
      </c>
      <c r="D47" s="7">
        <v>1</v>
      </c>
      <c r="E47" s="8" t="str">
        <f>_xlfn.CONCAT(A47,"-",B47,"-",C47,"-",D47)</f>
        <v>JCR-SKY-6h-1</v>
      </c>
    </row>
    <row r="48" spans="1:5" x14ac:dyDescent="0.2">
      <c r="A48" s="9" t="s">
        <v>2</v>
      </c>
      <c r="B48" s="2" t="s">
        <v>5</v>
      </c>
      <c r="C48" s="2" t="s">
        <v>25</v>
      </c>
      <c r="D48" s="2">
        <v>2</v>
      </c>
      <c r="E48" s="10" t="str">
        <f t="shared" ref="E48:E52" si="4">_xlfn.CONCAT(A48,"-",B48,"-",C48,"-",D48)</f>
        <v>JCR-SKY-6h-2</v>
      </c>
    </row>
    <row r="49" spans="1:5" x14ac:dyDescent="0.2">
      <c r="A49" s="9" t="s">
        <v>2</v>
      </c>
      <c r="B49" s="2" t="s">
        <v>5</v>
      </c>
      <c r="C49" s="2" t="s">
        <v>25</v>
      </c>
      <c r="D49" s="2">
        <v>3</v>
      </c>
      <c r="E49" s="10" t="str">
        <f t="shared" si="4"/>
        <v>JCR-SKY-6h-3</v>
      </c>
    </row>
    <row r="50" spans="1:5" x14ac:dyDescent="0.2">
      <c r="A50" s="9" t="s">
        <v>2</v>
      </c>
      <c r="B50" s="2" t="s">
        <v>5</v>
      </c>
      <c r="C50" s="2" t="s">
        <v>25</v>
      </c>
      <c r="D50" s="2">
        <v>8</v>
      </c>
      <c r="E50" s="10" t="str">
        <f t="shared" si="4"/>
        <v>JCR-SKY-6h-8</v>
      </c>
    </row>
    <row r="51" spans="1:5" x14ac:dyDescent="0.2">
      <c r="A51" s="9" t="s">
        <v>2</v>
      </c>
      <c r="B51" s="2" t="s">
        <v>5</v>
      </c>
      <c r="C51" s="2" t="s">
        <v>25</v>
      </c>
      <c r="D51" s="2">
        <v>12</v>
      </c>
      <c r="E51" s="10" t="str">
        <f t="shared" si="4"/>
        <v>JCR-SKY-6h-12</v>
      </c>
    </row>
    <row r="52" spans="1:5" x14ac:dyDescent="0.2">
      <c r="A52" s="11" t="s">
        <v>2</v>
      </c>
      <c r="B52" s="12" t="s">
        <v>5</v>
      </c>
      <c r="C52" s="12" t="s">
        <v>25</v>
      </c>
      <c r="D52" s="12">
        <v>15</v>
      </c>
      <c r="E52" s="13" t="str">
        <f t="shared" si="4"/>
        <v>JCR-SKY-6h-15</v>
      </c>
    </row>
    <row r="53" spans="1:5" x14ac:dyDescent="0.2">
      <c r="A53" s="6" t="s">
        <v>2</v>
      </c>
      <c r="B53" s="7" t="s">
        <v>3</v>
      </c>
      <c r="C53" s="7" t="s">
        <v>26</v>
      </c>
      <c r="D53" s="7">
        <v>1</v>
      </c>
      <c r="E53" s="8" t="str">
        <f>_xlfn.CONCAT(A53,"-",B53,"-",C53,"-",D53)</f>
        <v>JCR-ROS-24h-1</v>
      </c>
    </row>
    <row r="54" spans="1:5" x14ac:dyDescent="0.2">
      <c r="A54" s="9" t="s">
        <v>2</v>
      </c>
      <c r="B54" s="2" t="s">
        <v>3</v>
      </c>
      <c r="C54" s="2" t="s">
        <v>26</v>
      </c>
      <c r="D54" s="2">
        <v>2</v>
      </c>
      <c r="E54" s="10" t="str">
        <f t="shared" ref="E54:E58" si="5">_xlfn.CONCAT(A54,"-",B54,"-",C54,"-",D54)</f>
        <v>JCR-ROS-24h-2</v>
      </c>
    </row>
    <row r="55" spans="1:5" x14ac:dyDescent="0.2">
      <c r="A55" s="9" t="s">
        <v>2</v>
      </c>
      <c r="B55" s="2" t="s">
        <v>3</v>
      </c>
      <c r="C55" s="2" t="s">
        <v>26</v>
      </c>
      <c r="D55" s="2">
        <v>3</v>
      </c>
      <c r="E55" s="10" t="str">
        <f t="shared" si="5"/>
        <v>JCR-ROS-24h-3</v>
      </c>
    </row>
    <row r="56" spans="1:5" x14ac:dyDescent="0.2">
      <c r="A56" s="9" t="s">
        <v>2</v>
      </c>
      <c r="B56" s="2" t="s">
        <v>3</v>
      </c>
      <c r="C56" s="2" t="s">
        <v>26</v>
      </c>
      <c r="D56" s="2">
        <v>8</v>
      </c>
      <c r="E56" s="10" t="str">
        <f t="shared" si="5"/>
        <v>JCR-ROS-24h-8</v>
      </c>
    </row>
    <row r="57" spans="1:5" x14ac:dyDescent="0.2">
      <c r="A57" s="9" t="s">
        <v>2</v>
      </c>
      <c r="B57" s="2" t="s">
        <v>3</v>
      </c>
      <c r="C57" s="2" t="s">
        <v>26</v>
      </c>
      <c r="D57" s="2">
        <v>12</v>
      </c>
      <c r="E57" s="10" t="str">
        <f t="shared" si="5"/>
        <v>JCR-ROS-24h-12</v>
      </c>
    </row>
    <row r="58" spans="1:5" x14ac:dyDescent="0.2">
      <c r="A58" s="11" t="s">
        <v>2</v>
      </c>
      <c r="B58" s="12" t="s">
        <v>3</v>
      </c>
      <c r="C58" s="12" t="s">
        <v>26</v>
      </c>
      <c r="D58" s="12">
        <v>15</v>
      </c>
      <c r="E58" s="13" t="str">
        <f t="shared" si="5"/>
        <v>JCR-ROS-24h-15</v>
      </c>
    </row>
    <row r="59" spans="1:5" x14ac:dyDescent="0.2">
      <c r="A59" s="6" t="s">
        <v>2</v>
      </c>
      <c r="B59" s="7" t="s">
        <v>5</v>
      </c>
      <c r="C59" s="7" t="s">
        <v>26</v>
      </c>
      <c r="D59" s="7">
        <v>1</v>
      </c>
      <c r="E59" s="8" t="str">
        <f>_xlfn.CONCAT(A59,"-",B59,"-",C59,"-",D59)</f>
        <v>JCR-SKY-24h-1</v>
      </c>
    </row>
    <row r="60" spans="1:5" x14ac:dyDescent="0.2">
      <c r="A60" s="9" t="s">
        <v>2</v>
      </c>
      <c r="B60" s="2" t="s">
        <v>5</v>
      </c>
      <c r="C60" s="2" t="s">
        <v>26</v>
      </c>
      <c r="D60" s="2">
        <v>2</v>
      </c>
      <c r="E60" s="10" t="str">
        <f t="shared" ref="E60:E64" si="6">_xlfn.CONCAT(A60,"-",B60,"-",C60,"-",D60)</f>
        <v>JCR-SKY-24h-2</v>
      </c>
    </row>
    <row r="61" spans="1:5" x14ac:dyDescent="0.2">
      <c r="A61" s="9" t="s">
        <v>2</v>
      </c>
      <c r="B61" s="2" t="s">
        <v>5</v>
      </c>
      <c r="C61" s="2" t="s">
        <v>26</v>
      </c>
      <c r="D61" s="2">
        <v>3</v>
      </c>
      <c r="E61" s="10" t="str">
        <f t="shared" si="6"/>
        <v>JCR-SKY-24h-3</v>
      </c>
    </row>
    <row r="62" spans="1:5" x14ac:dyDescent="0.2">
      <c r="A62" s="9" t="s">
        <v>2</v>
      </c>
      <c r="B62" s="2" t="s">
        <v>5</v>
      </c>
      <c r="C62" s="2" t="s">
        <v>26</v>
      </c>
      <c r="D62" s="2">
        <v>8</v>
      </c>
      <c r="E62" s="10" t="str">
        <f t="shared" si="6"/>
        <v>JCR-SKY-24h-8</v>
      </c>
    </row>
    <row r="63" spans="1:5" x14ac:dyDescent="0.2">
      <c r="A63" s="9" t="s">
        <v>2</v>
      </c>
      <c r="B63" s="2" t="s">
        <v>5</v>
      </c>
      <c r="C63" s="2" t="s">
        <v>26</v>
      </c>
      <c r="D63" s="2">
        <v>12</v>
      </c>
      <c r="E63" s="10" t="str">
        <f t="shared" si="6"/>
        <v>JCR-SKY-24h-12</v>
      </c>
    </row>
    <row r="64" spans="1:5" x14ac:dyDescent="0.2">
      <c r="A64" s="11" t="s">
        <v>2</v>
      </c>
      <c r="B64" s="12" t="s">
        <v>5</v>
      </c>
      <c r="C64" s="12" t="s">
        <v>26</v>
      </c>
      <c r="D64" s="12">
        <v>15</v>
      </c>
      <c r="E64" s="13" t="str">
        <f t="shared" si="6"/>
        <v>JCR-SKY-24h-15</v>
      </c>
    </row>
    <row r="65" spans="1:5" x14ac:dyDescent="0.2">
      <c r="A65" s="6" t="s">
        <v>2</v>
      </c>
      <c r="B65" s="7" t="s">
        <v>3</v>
      </c>
      <c r="C65" s="7" t="s">
        <v>27</v>
      </c>
      <c r="D65" s="7">
        <v>1</v>
      </c>
      <c r="E65" s="8" t="str">
        <f>_xlfn.CONCAT(A65,"-",B65,"-",C65,"-",D65)</f>
        <v>JCR-ROS-48h-1</v>
      </c>
    </row>
    <row r="66" spans="1:5" x14ac:dyDescent="0.2">
      <c r="A66" s="9" t="s">
        <v>2</v>
      </c>
      <c r="B66" s="2" t="s">
        <v>3</v>
      </c>
      <c r="C66" s="2" t="s">
        <v>27</v>
      </c>
      <c r="D66" s="2">
        <v>2</v>
      </c>
      <c r="E66" s="10" t="str">
        <f t="shared" ref="E66:E70" si="7">_xlfn.CONCAT(A66,"-",B66,"-",C66,"-",D66)</f>
        <v>JCR-ROS-48h-2</v>
      </c>
    </row>
    <row r="67" spans="1:5" x14ac:dyDescent="0.2">
      <c r="A67" s="9" t="s">
        <v>2</v>
      </c>
      <c r="B67" s="2" t="s">
        <v>3</v>
      </c>
      <c r="C67" s="2" t="s">
        <v>27</v>
      </c>
      <c r="D67" s="2">
        <v>3</v>
      </c>
      <c r="E67" s="10" t="str">
        <f t="shared" si="7"/>
        <v>JCR-ROS-48h-3</v>
      </c>
    </row>
    <row r="68" spans="1:5" x14ac:dyDescent="0.2">
      <c r="A68" s="9" t="s">
        <v>2</v>
      </c>
      <c r="B68" s="2" t="s">
        <v>3</v>
      </c>
      <c r="C68" s="2" t="s">
        <v>27</v>
      </c>
      <c r="D68" s="2">
        <v>8</v>
      </c>
      <c r="E68" s="10" t="str">
        <f t="shared" si="7"/>
        <v>JCR-ROS-48h-8</v>
      </c>
    </row>
    <row r="69" spans="1:5" x14ac:dyDescent="0.2">
      <c r="A69" s="9" t="s">
        <v>2</v>
      </c>
      <c r="B69" s="2" t="s">
        <v>3</v>
      </c>
      <c r="C69" s="2" t="s">
        <v>27</v>
      </c>
      <c r="D69" s="2">
        <v>12</v>
      </c>
      <c r="E69" s="10" t="str">
        <f t="shared" si="7"/>
        <v>JCR-ROS-48h-12</v>
      </c>
    </row>
    <row r="70" spans="1:5" x14ac:dyDescent="0.2">
      <c r="A70" s="11" t="s">
        <v>2</v>
      </c>
      <c r="B70" s="12" t="s">
        <v>3</v>
      </c>
      <c r="C70" s="12" t="s">
        <v>27</v>
      </c>
      <c r="D70" s="12">
        <v>15</v>
      </c>
      <c r="E70" s="13" t="str">
        <f t="shared" si="7"/>
        <v>JCR-ROS-48h-15</v>
      </c>
    </row>
    <row r="71" spans="1:5" x14ac:dyDescent="0.2">
      <c r="A71" s="6" t="s">
        <v>2</v>
      </c>
      <c r="B71" s="7" t="s">
        <v>5</v>
      </c>
      <c r="C71" s="7" t="s">
        <v>27</v>
      </c>
      <c r="D71" s="7">
        <v>1</v>
      </c>
      <c r="E71" s="8" t="str">
        <f>_xlfn.CONCAT(A71,"-",B71,"-",C71,"-",D71)</f>
        <v>JCR-SKY-48h-1</v>
      </c>
    </row>
    <row r="72" spans="1:5" x14ac:dyDescent="0.2">
      <c r="A72" s="9" t="s">
        <v>2</v>
      </c>
      <c r="B72" s="2" t="s">
        <v>5</v>
      </c>
      <c r="C72" s="2" t="s">
        <v>27</v>
      </c>
      <c r="D72" s="2">
        <v>2</v>
      </c>
      <c r="E72" s="10" t="str">
        <f t="shared" ref="E72:E80" si="8">_xlfn.CONCAT(A72,"-",B72,"-",C72,"-",D72)</f>
        <v>JCR-SKY-48h-2</v>
      </c>
    </row>
    <row r="73" spans="1:5" x14ac:dyDescent="0.2">
      <c r="A73" s="9" t="s">
        <v>2</v>
      </c>
      <c r="B73" s="2" t="s">
        <v>5</v>
      </c>
      <c r="C73" s="2" t="s">
        <v>27</v>
      </c>
      <c r="D73" s="2">
        <v>3</v>
      </c>
      <c r="E73" s="10" t="str">
        <f t="shared" si="8"/>
        <v>JCR-SKY-48h-3</v>
      </c>
    </row>
    <row r="74" spans="1:5" x14ac:dyDescent="0.2">
      <c r="A74" s="9" t="s">
        <v>2</v>
      </c>
      <c r="B74" s="2" t="s">
        <v>5</v>
      </c>
      <c r="C74" s="2" t="s">
        <v>27</v>
      </c>
      <c r="D74" s="2">
        <v>8</v>
      </c>
      <c r="E74" s="10" t="str">
        <f t="shared" si="8"/>
        <v>JCR-SKY-48h-8</v>
      </c>
    </row>
    <row r="75" spans="1:5" x14ac:dyDescent="0.2">
      <c r="A75" s="9" t="s">
        <v>2</v>
      </c>
      <c r="B75" s="2" t="s">
        <v>5</v>
      </c>
      <c r="C75" s="2" t="s">
        <v>27</v>
      </c>
      <c r="D75" s="2">
        <v>12</v>
      </c>
      <c r="E75" s="10" t="str">
        <f t="shared" si="8"/>
        <v>JCR-SKY-48h-12</v>
      </c>
    </row>
    <row r="76" spans="1:5" x14ac:dyDescent="0.2">
      <c r="A76" s="11" t="s">
        <v>2</v>
      </c>
      <c r="B76" s="12" t="s">
        <v>5</v>
      </c>
      <c r="C76" s="12" t="s">
        <v>27</v>
      </c>
      <c r="D76" s="12">
        <v>15</v>
      </c>
      <c r="E76" s="13" t="str">
        <f t="shared" si="8"/>
        <v>JCR-SKY-48h-15</v>
      </c>
    </row>
    <row r="77" spans="1:5" x14ac:dyDescent="0.2">
      <c r="A77" s="9" t="s">
        <v>2</v>
      </c>
      <c r="B77" s="2" t="s">
        <v>29</v>
      </c>
      <c r="C77" s="2"/>
      <c r="D77" s="2" t="s">
        <v>30</v>
      </c>
      <c r="E77" s="10" t="str">
        <f t="shared" si="8"/>
        <v>JCR-BLANK--A</v>
      </c>
    </row>
    <row r="78" spans="1:5" x14ac:dyDescent="0.2">
      <c r="A78" s="9" t="s">
        <v>2</v>
      </c>
      <c r="B78" s="2" t="s">
        <v>29</v>
      </c>
      <c r="C78" s="2"/>
      <c r="D78" s="2" t="s">
        <v>31</v>
      </c>
      <c r="E78" s="10" t="str">
        <f t="shared" si="8"/>
        <v>JCR-BLANK--B</v>
      </c>
    </row>
    <row r="79" spans="1:5" x14ac:dyDescent="0.2">
      <c r="A79" s="6" t="s">
        <v>2</v>
      </c>
      <c r="B79" s="7" t="s">
        <v>43</v>
      </c>
      <c r="C79" s="7"/>
      <c r="D79" s="7" t="s">
        <v>30</v>
      </c>
      <c r="E79" s="8" t="str">
        <f t="shared" si="8"/>
        <v>JCR-AMBIENT--A</v>
      </c>
    </row>
    <row r="80" spans="1:5" x14ac:dyDescent="0.2">
      <c r="A80" s="11" t="s">
        <v>2</v>
      </c>
      <c r="B80" s="12" t="s">
        <v>43</v>
      </c>
      <c r="C80" s="12"/>
      <c r="D80" s="12" t="s">
        <v>31</v>
      </c>
      <c r="E80" s="13" t="str">
        <f t="shared" si="8"/>
        <v>JCR-AMBIENT--B</v>
      </c>
    </row>
    <row r="81" spans="1:5" x14ac:dyDescent="0.2">
      <c r="A81" s="14" t="s">
        <v>7</v>
      </c>
      <c r="B81" s="15" t="s">
        <v>3</v>
      </c>
      <c r="C81" s="15" t="s">
        <v>23</v>
      </c>
      <c r="D81" s="15">
        <v>1</v>
      </c>
      <c r="E81" s="16" t="str">
        <f>_xlfn.CONCAT(A81,"-",B81,"-",C81,"-",D81)</f>
        <v>PAL-ROS-pre-1</v>
      </c>
    </row>
    <row r="82" spans="1:5" x14ac:dyDescent="0.2">
      <c r="A82" s="17" t="s">
        <v>7</v>
      </c>
      <c r="B82" s="3" t="s">
        <v>3</v>
      </c>
      <c r="C82" s="3" t="s">
        <v>23</v>
      </c>
      <c r="D82" s="3">
        <v>2</v>
      </c>
      <c r="E82" s="18" t="str">
        <f t="shared" ref="E82:E86" si="9">_xlfn.CONCAT(A82,"-",B82,"-",C82,"-",D82)</f>
        <v>PAL-ROS-pre-2</v>
      </c>
    </row>
    <row r="83" spans="1:5" x14ac:dyDescent="0.2">
      <c r="A83" s="17" t="s">
        <v>7</v>
      </c>
      <c r="B83" s="3" t="s">
        <v>3</v>
      </c>
      <c r="C83" s="3" t="s">
        <v>23</v>
      </c>
      <c r="D83" s="3">
        <v>3</v>
      </c>
      <c r="E83" s="18" t="str">
        <f t="shared" si="9"/>
        <v>PAL-ROS-pre-3</v>
      </c>
    </row>
    <row r="84" spans="1:5" x14ac:dyDescent="0.2">
      <c r="A84" s="17" t="s">
        <v>7</v>
      </c>
      <c r="B84" s="3" t="s">
        <v>3</v>
      </c>
      <c r="C84" s="3" t="s">
        <v>23</v>
      </c>
      <c r="D84" s="3">
        <v>8</v>
      </c>
      <c r="E84" s="18" t="str">
        <f t="shared" si="9"/>
        <v>PAL-ROS-pre-8</v>
      </c>
    </row>
    <row r="85" spans="1:5" x14ac:dyDescent="0.2">
      <c r="A85" s="17" t="s">
        <v>7</v>
      </c>
      <c r="B85" s="3" t="s">
        <v>3</v>
      </c>
      <c r="C85" s="3" t="s">
        <v>23</v>
      </c>
      <c r="D85" s="3">
        <v>12</v>
      </c>
      <c r="E85" s="18" t="str">
        <f t="shared" si="9"/>
        <v>PAL-ROS-pre-12</v>
      </c>
    </row>
    <row r="86" spans="1:5" x14ac:dyDescent="0.2">
      <c r="A86" s="19" t="s">
        <v>7</v>
      </c>
      <c r="B86" s="20" t="s">
        <v>3</v>
      </c>
      <c r="C86" s="20" t="s">
        <v>23</v>
      </c>
      <c r="D86" s="20">
        <v>15</v>
      </c>
      <c r="E86" s="21" t="str">
        <f t="shared" si="9"/>
        <v>PAL-ROS-pre-15</v>
      </c>
    </row>
    <row r="87" spans="1:5" x14ac:dyDescent="0.2">
      <c r="A87" s="14" t="s">
        <v>7</v>
      </c>
      <c r="B87" s="15" t="s">
        <v>5</v>
      </c>
      <c r="C87" s="15" t="s">
        <v>23</v>
      </c>
      <c r="D87" s="15">
        <v>1</v>
      </c>
      <c r="E87" s="16" t="str">
        <f>_xlfn.CONCAT(A87,"-",B87,"-",C87,"-",D87)</f>
        <v>PAL-SKY-pre-1</v>
      </c>
    </row>
    <row r="88" spans="1:5" x14ac:dyDescent="0.2">
      <c r="A88" s="17" t="s">
        <v>7</v>
      </c>
      <c r="B88" s="3" t="s">
        <v>5</v>
      </c>
      <c r="C88" s="3" t="s">
        <v>23</v>
      </c>
      <c r="D88" s="3">
        <v>2</v>
      </c>
      <c r="E88" s="18" t="str">
        <f t="shared" ref="E88:E92" si="10">_xlfn.CONCAT(A88,"-",B88,"-",C88,"-",D88)</f>
        <v>PAL-SKY-pre-2</v>
      </c>
    </row>
    <row r="89" spans="1:5" x14ac:dyDescent="0.2">
      <c r="A89" s="17" t="s">
        <v>7</v>
      </c>
      <c r="B89" s="3" t="s">
        <v>5</v>
      </c>
      <c r="C89" s="3" t="s">
        <v>23</v>
      </c>
      <c r="D89" s="3">
        <v>3</v>
      </c>
      <c r="E89" s="18" t="str">
        <f t="shared" si="10"/>
        <v>PAL-SKY-pre-3</v>
      </c>
    </row>
    <row r="90" spans="1:5" x14ac:dyDescent="0.2">
      <c r="A90" s="17" t="s">
        <v>7</v>
      </c>
      <c r="B90" s="3" t="s">
        <v>5</v>
      </c>
      <c r="C90" s="3" t="s">
        <v>23</v>
      </c>
      <c r="D90" s="3">
        <v>8</v>
      </c>
      <c r="E90" s="18" t="str">
        <f t="shared" si="10"/>
        <v>PAL-SKY-pre-8</v>
      </c>
    </row>
    <row r="91" spans="1:5" x14ac:dyDescent="0.2">
      <c r="A91" s="17" t="s">
        <v>7</v>
      </c>
      <c r="B91" s="3" t="s">
        <v>5</v>
      </c>
      <c r="C91" s="3" t="s">
        <v>23</v>
      </c>
      <c r="D91" s="3">
        <v>12</v>
      </c>
      <c r="E91" s="18" t="str">
        <f t="shared" si="10"/>
        <v>PAL-SKY-pre-12</v>
      </c>
    </row>
    <row r="92" spans="1:5" x14ac:dyDescent="0.2">
      <c r="A92" s="19" t="s">
        <v>7</v>
      </c>
      <c r="B92" s="20" t="s">
        <v>5</v>
      </c>
      <c r="C92" s="20" t="s">
        <v>23</v>
      </c>
      <c r="D92" s="20">
        <v>15</v>
      </c>
      <c r="E92" s="21" t="str">
        <f t="shared" si="10"/>
        <v>PAL-SKY-pre-15</v>
      </c>
    </row>
    <row r="93" spans="1:5" x14ac:dyDescent="0.2">
      <c r="A93" s="14" t="s">
        <v>7</v>
      </c>
      <c r="B93" s="15" t="s">
        <v>3</v>
      </c>
      <c r="C93" s="15" t="s">
        <v>24</v>
      </c>
      <c r="D93" s="15">
        <v>1</v>
      </c>
      <c r="E93" s="16" t="str">
        <f>_xlfn.CONCAT(A93,"-",B93,"-",C93,"-",D93)</f>
        <v>PAL-ROS-1h-1</v>
      </c>
    </row>
    <row r="94" spans="1:5" x14ac:dyDescent="0.2">
      <c r="A94" s="17" t="s">
        <v>7</v>
      </c>
      <c r="B94" s="3" t="s">
        <v>3</v>
      </c>
      <c r="C94" s="3" t="s">
        <v>24</v>
      </c>
      <c r="D94" s="3">
        <v>2</v>
      </c>
      <c r="E94" s="18" t="str">
        <f t="shared" ref="E94:E98" si="11">_xlfn.CONCAT(A94,"-",B94,"-",C94,"-",D94)</f>
        <v>PAL-ROS-1h-2</v>
      </c>
    </row>
    <row r="95" spans="1:5" x14ac:dyDescent="0.2">
      <c r="A95" s="17" t="s">
        <v>7</v>
      </c>
      <c r="B95" s="3" t="s">
        <v>3</v>
      </c>
      <c r="C95" s="3" t="s">
        <v>24</v>
      </c>
      <c r="D95" s="3">
        <v>3</v>
      </c>
      <c r="E95" s="18" t="str">
        <f t="shared" si="11"/>
        <v>PAL-ROS-1h-3</v>
      </c>
    </row>
    <row r="96" spans="1:5" x14ac:dyDescent="0.2">
      <c r="A96" s="17" t="s">
        <v>7</v>
      </c>
      <c r="B96" s="3" t="s">
        <v>3</v>
      </c>
      <c r="C96" s="3" t="s">
        <v>24</v>
      </c>
      <c r="D96" s="3">
        <v>8</v>
      </c>
      <c r="E96" s="18" t="str">
        <f t="shared" si="11"/>
        <v>PAL-ROS-1h-8</v>
      </c>
    </row>
    <row r="97" spans="1:5" x14ac:dyDescent="0.2">
      <c r="A97" s="17" t="s">
        <v>7</v>
      </c>
      <c r="B97" s="3" t="s">
        <v>3</v>
      </c>
      <c r="C97" s="3" t="s">
        <v>24</v>
      </c>
      <c r="D97" s="3">
        <v>12</v>
      </c>
      <c r="E97" s="18" t="str">
        <f t="shared" si="11"/>
        <v>PAL-ROS-1h-12</v>
      </c>
    </row>
    <row r="98" spans="1:5" x14ac:dyDescent="0.2">
      <c r="A98" s="19" t="s">
        <v>7</v>
      </c>
      <c r="B98" s="20" t="s">
        <v>3</v>
      </c>
      <c r="C98" s="20" t="s">
        <v>24</v>
      </c>
      <c r="D98" s="20">
        <v>15</v>
      </c>
      <c r="E98" s="21" t="str">
        <f t="shared" si="11"/>
        <v>PAL-ROS-1h-15</v>
      </c>
    </row>
    <row r="99" spans="1:5" x14ac:dyDescent="0.2">
      <c r="A99" s="14" t="s">
        <v>7</v>
      </c>
      <c r="B99" s="15" t="s">
        <v>5</v>
      </c>
      <c r="C99" s="15" t="s">
        <v>24</v>
      </c>
      <c r="D99" s="15">
        <v>1</v>
      </c>
      <c r="E99" s="16" t="str">
        <f>_xlfn.CONCAT(A99,"-",B99,"-",C99,"-",D99)</f>
        <v>PAL-SKY-1h-1</v>
      </c>
    </row>
    <row r="100" spans="1:5" x14ac:dyDescent="0.2">
      <c r="A100" s="17" t="s">
        <v>7</v>
      </c>
      <c r="B100" s="3" t="s">
        <v>5</v>
      </c>
      <c r="C100" s="3" t="s">
        <v>24</v>
      </c>
      <c r="D100" s="3">
        <v>2</v>
      </c>
      <c r="E100" s="18" t="str">
        <f t="shared" ref="E100:E104" si="12">_xlfn.CONCAT(A100,"-",B100,"-",C100,"-",D100)</f>
        <v>PAL-SKY-1h-2</v>
      </c>
    </row>
    <row r="101" spans="1:5" x14ac:dyDescent="0.2">
      <c r="A101" s="17" t="s">
        <v>7</v>
      </c>
      <c r="B101" s="3" t="s">
        <v>5</v>
      </c>
      <c r="C101" s="3" t="s">
        <v>24</v>
      </c>
      <c r="D101" s="3">
        <v>3</v>
      </c>
      <c r="E101" s="18" t="str">
        <f t="shared" si="12"/>
        <v>PAL-SKY-1h-3</v>
      </c>
    </row>
    <row r="102" spans="1:5" x14ac:dyDescent="0.2">
      <c r="A102" s="17" t="s">
        <v>7</v>
      </c>
      <c r="B102" s="3" t="s">
        <v>5</v>
      </c>
      <c r="C102" s="3" t="s">
        <v>24</v>
      </c>
      <c r="D102" s="3">
        <v>8</v>
      </c>
      <c r="E102" s="18" t="str">
        <f t="shared" si="12"/>
        <v>PAL-SKY-1h-8</v>
      </c>
    </row>
    <row r="103" spans="1:5" x14ac:dyDescent="0.2">
      <c r="A103" s="17" t="s">
        <v>7</v>
      </c>
      <c r="B103" s="3" t="s">
        <v>5</v>
      </c>
      <c r="C103" s="3" t="s">
        <v>24</v>
      </c>
      <c r="D103" s="3">
        <v>12</v>
      </c>
      <c r="E103" s="18" t="str">
        <f t="shared" si="12"/>
        <v>PAL-SKY-1h-12</v>
      </c>
    </row>
    <row r="104" spans="1:5" x14ac:dyDescent="0.2">
      <c r="A104" s="19" t="s">
        <v>7</v>
      </c>
      <c r="B104" s="20" t="s">
        <v>5</v>
      </c>
      <c r="C104" s="20" t="s">
        <v>24</v>
      </c>
      <c r="D104" s="20">
        <v>15</v>
      </c>
      <c r="E104" s="21" t="str">
        <f t="shared" si="12"/>
        <v>PAL-SKY-1h-15</v>
      </c>
    </row>
    <row r="105" spans="1:5" x14ac:dyDescent="0.2">
      <c r="A105" s="14" t="s">
        <v>7</v>
      </c>
      <c r="B105" s="15" t="s">
        <v>3</v>
      </c>
      <c r="C105" s="15" t="s">
        <v>25</v>
      </c>
      <c r="D105" s="15">
        <v>1</v>
      </c>
      <c r="E105" s="16" t="str">
        <f>_xlfn.CONCAT(A105,"-",B105,"-",C105,"-",D105)</f>
        <v>PAL-ROS-6h-1</v>
      </c>
    </row>
    <row r="106" spans="1:5" x14ac:dyDescent="0.2">
      <c r="A106" s="17" t="s">
        <v>7</v>
      </c>
      <c r="B106" s="3" t="s">
        <v>3</v>
      </c>
      <c r="C106" s="3" t="s">
        <v>25</v>
      </c>
      <c r="D106" s="3">
        <v>2</v>
      </c>
      <c r="E106" s="18" t="str">
        <f t="shared" ref="E106:E110" si="13">_xlfn.CONCAT(A106,"-",B106,"-",C106,"-",D106)</f>
        <v>PAL-ROS-6h-2</v>
      </c>
    </row>
    <row r="107" spans="1:5" x14ac:dyDescent="0.2">
      <c r="A107" s="17" t="s">
        <v>7</v>
      </c>
      <c r="B107" s="3" t="s">
        <v>3</v>
      </c>
      <c r="C107" s="3" t="s">
        <v>25</v>
      </c>
      <c r="D107" s="3">
        <v>3</v>
      </c>
      <c r="E107" s="18" t="str">
        <f t="shared" si="13"/>
        <v>PAL-ROS-6h-3</v>
      </c>
    </row>
    <row r="108" spans="1:5" x14ac:dyDescent="0.2">
      <c r="A108" s="17" t="s">
        <v>7</v>
      </c>
      <c r="B108" s="3" t="s">
        <v>3</v>
      </c>
      <c r="C108" s="3" t="s">
        <v>25</v>
      </c>
      <c r="D108" s="3">
        <v>8</v>
      </c>
      <c r="E108" s="18" t="str">
        <f t="shared" si="13"/>
        <v>PAL-ROS-6h-8</v>
      </c>
    </row>
    <row r="109" spans="1:5" x14ac:dyDescent="0.2">
      <c r="A109" s="17" t="s">
        <v>7</v>
      </c>
      <c r="B109" s="3" t="s">
        <v>3</v>
      </c>
      <c r="C109" s="3" t="s">
        <v>25</v>
      </c>
      <c r="D109" s="3">
        <v>12</v>
      </c>
      <c r="E109" s="18" t="str">
        <f t="shared" si="13"/>
        <v>PAL-ROS-6h-12</v>
      </c>
    </row>
    <row r="110" spans="1:5" x14ac:dyDescent="0.2">
      <c r="A110" s="19" t="s">
        <v>7</v>
      </c>
      <c r="B110" s="20" t="s">
        <v>3</v>
      </c>
      <c r="C110" s="20" t="s">
        <v>25</v>
      </c>
      <c r="D110" s="20">
        <v>15</v>
      </c>
      <c r="E110" s="21" t="str">
        <f t="shared" si="13"/>
        <v>PAL-ROS-6h-15</v>
      </c>
    </row>
    <row r="111" spans="1:5" x14ac:dyDescent="0.2">
      <c r="A111" s="14" t="s">
        <v>7</v>
      </c>
      <c r="B111" s="15" t="s">
        <v>5</v>
      </c>
      <c r="C111" s="15" t="s">
        <v>25</v>
      </c>
      <c r="D111" s="15">
        <v>1</v>
      </c>
      <c r="E111" s="16" t="str">
        <f>_xlfn.CONCAT(A111,"-",B111,"-",C111,"-",D111)</f>
        <v>PAL-SKY-6h-1</v>
      </c>
    </row>
    <row r="112" spans="1:5" x14ac:dyDescent="0.2">
      <c r="A112" s="17" t="s">
        <v>7</v>
      </c>
      <c r="B112" s="3" t="s">
        <v>5</v>
      </c>
      <c r="C112" s="3" t="s">
        <v>25</v>
      </c>
      <c r="D112" s="3">
        <v>2</v>
      </c>
      <c r="E112" s="18" t="str">
        <f t="shared" ref="E112:E116" si="14">_xlfn.CONCAT(A112,"-",B112,"-",C112,"-",D112)</f>
        <v>PAL-SKY-6h-2</v>
      </c>
    </row>
    <row r="113" spans="1:5" x14ac:dyDescent="0.2">
      <c r="A113" s="17" t="s">
        <v>7</v>
      </c>
      <c r="B113" s="3" t="s">
        <v>5</v>
      </c>
      <c r="C113" s="3" t="s">
        <v>25</v>
      </c>
      <c r="D113" s="3">
        <v>3</v>
      </c>
      <c r="E113" s="18" t="str">
        <f t="shared" si="14"/>
        <v>PAL-SKY-6h-3</v>
      </c>
    </row>
    <row r="114" spans="1:5" x14ac:dyDescent="0.2">
      <c r="A114" s="17" t="s">
        <v>7</v>
      </c>
      <c r="B114" s="3" t="s">
        <v>5</v>
      </c>
      <c r="C114" s="3" t="s">
        <v>25</v>
      </c>
      <c r="D114" s="3">
        <v>8</v>
      </c>
      <c r="E114" s="18" t="str">
        <f t="shared" si="14"/>
        <v>PAL-SKY-6h-8</v>
      </c>
    </row>
    <row r="115" spans="1:5" x14ac:dyDescent="0.2">
      <c r="A115" s="17" t="s">
        <v>7</v>
      </c>
      <c r="B115" s="3" t="s">
        <v>5</v>
      </c>
      <c r="C115" s="3" t="s">
        <v>25</v>
      </c>
      <c r="D115" s="3">
        <v>12</v>
      </c>
      <c r="E115" s="18" t="str">
        <f t="shared" si="14"/>
        <v>PAL-SKY-6h-12</v>
      </c>
    </row>
    <row r="116" spans="1:5" x14ac:dyDescent="0.2">
      <c r="A116" s="19" t="s">
        <v>7</v>
      </c>
      <c r="B116" s="20" t="s">
        <v>5</v>
      </c>
      <c r="C116" s="20" t="s">
        <v>25</v>
      </c>
      <c r="D116" s="20">
        <v>15</v>
      </c>
      <c r="E116" s="21" t="str">
        <f t="shared" si="14"/>
        <v>PAL-SKY-6h-15</v>
      </c>
    </row>
    <row r="117" spans="1:5" x14ac:dyDescent="0.2">
      <c r="A117" s="14" t="s">
        <v>7</v>
      </c>
      <c r="B117" s="15" t="s">
        <v>3</v>
      </c>
      <c r="C117" s="15" t="s">
        <v>26</v>
      </c>
      <c r="D117" s="15">
        <v>1</v>
      </c>
      <c r="E117" s="16" t="str">
        <f>_xlfn.CONCAT(A117,"-",B117,"-",C117,"-",D117)</f>
        <v>PAL-ROS-24h-1</v>
      </c>
    </row>
    <row r="118" spans="1:5" x14ac:dyDescent="0.2">
      <c r="A118" s="17" t="s">
        <v>7</v>
      </c>
      <c r="B118" s="3" t="s">
        <v>3</v>
      </c>
      <c r="C118" s="3" t="s">
        <v>26</v>
      </c>
      <c r="D118" s="3">
        <v>2</v>
      </c>
      <c r="E118" s="18" t="str">
        <f t="shared" ref="E118:E122" si="15">_xlfn.CONCAT(A118,"-",B118,"-",C118,"-",D118)</f>
        <v>PAL-ROS-24h-2</v>
      </c>
    </row>
    <row r="119" spans="1:5" x14ac:dyDescent="0.2">
      <c r="A119" s="17" t="s">
        <v>7</v>
      </c>
      <c r="B119" s="3" t="s">
        <v>3</v>
      </c>
      <c r="C119" s="3" t="s">
        <v>26</v>
      </c>
      <c r="D119" s="3">
        <v>3</v>
      </c>
      <c r="E119" s="18" t="str">
        <f t="shared" si="15"/>
        <v>PAL-ROS-24h-3</v>
      </c>
    </row>
    <row r="120" spans="1:5" x14ac:dyDescent="0.2">
      <c r="A120" s="17" t="s">
        <v>7</v>
      </c>
      <c r="B120" s="3" t="s">
        <v>3</v>
      </c>
      <c r="C120" s="3" t="s">
        <v>26</v>
      </c>
      <c r="D120" s="3">
        <v>8</v>
      </c>
      <c r="E120" s="18" t="str">
        <f t="shared" si="15"/>
        <v>PAL-ROS-24h-8</v>
      </c>
    </row>
    <row r="121" spans="1:5" x14ac:dyDescent="0.2">
      <c r="A121" s="17" t="s">
        <v>7</v>
      </c>
      <c r="B121" s="3" t="s">
        <v>3</v>
      </c>
      <c r="C121" s="3" t="s">
        <v>26</v>
      </c>
      <c r="D121" s="3">
        <v>12</v>
      </c>
      <c r="E121" s="18" t="str">
        <f t="shared" si="15"/>
        <v>PAL-ROS-24h-12</v>
      </c>
    </row>
    <row r="122" spans="1:5" x14ac:dyDescent="0.2">
      <c r="A122" s="19" t="s">
        <v>7</v>
      </c>
      <c r="B122" s="20" t="s">
        <v>3</v>
      </c>
      <c r="C122" s="20" t="s">
        <v>26</v>
      </c>
      <c r="D122" s="20">
        <v>15</v>
      </c>
      <c r="E122" s="21" t="str">
        <f t="shared" si="15"/>
        <v>PAL-ROS-24h-15</v>
      </c>
    </row>
    <row r="123" spans="1:5" x14ac:dyDescent="0.2">
      <c r="A123" s="14" t="s">
        <v>7</v>
      </c>
      <c r="B123" s="15" t="s">
        <v>5</v>
      </c>
      <c r="C123" s="15" t="s">
        <v>26</v>
      </c>
      <c r="D123" s="15">
        <v>1</v>
      </c>
      <c r="E123" s="16" t="str">
        <f>_xlfn.CONCAT(A123,"-",B123,"-",C123,"-",D123)</f>
        <v>PAL-SKY-24h-1</v>
      </c>
    </row>
    <row r="124" spans="1:5" x14ac:dyDescent="0.2">
      <c r="A124" s="17" t="s">
        <v>7</v>
      </c>
      <c r="B124" s="3" t="s">
        <v>5</v>
      </c>
      <c r="C124" s="3" t="s">
        <v>26</v>
      </c>
      <c r="D124" s="3">
        <v>2</v>
      </c>
      <c r="E124" s="18" t="str">
        <f t="shared" ref="E124:E128" si="16">_xlfn.CONCAT(A124,"-",B124,"-",C124,"-",D124)</f>
        <v>PAL-SKY-24h-2</v>
      </c>
    </row>
    <row r="125" spans="1:5" x14ac:dyDescent="0.2">
      <c r="A125" s="17" t="s">
        <v>7</v>
      </c>
      <c r="B125" s="3" t="s">
        <v>5</v>
      </c>
      <c r="C125" s="3" t="s">
        <v>26</v>
      </c>
      <c r="D125" s="3">
        <v>3</v>
      </c>
      <c r="E125" s="18" t="str">
        <f t="shared" si="16"/>
        <v>PAL-SKY-24h-3</v>
      </c>
    </row>
    <row r="126" spans="1:5" x14ac:dyDescent="0.2">
      <c r="A126" s="17" t="s">
        <v>7</v>
      </c>
      <c r="B126" s="3" t="s">
        <v>5</v>
      </c>
      <c r="C126" s="3" t="s">
        <v>26</v>
      </c>
      <c r="D126" s="3">
        <v>8</v>
      </c>
      <c r="E126" s="18" t="str">
        <f t="shared" si="16"/>
        <v>PAL-SKY-24h-8</v>
      </c>
    </row>
    <row r="127" spans="1:5" x14ac:dyDescent="0.2">
      <c r="A127" s="17" t="s">
        <v>7</v>
      </c>
      <c r="B127" s="3" t="s">
        <v>5</v>
      </c>
      <c r="C127" s="3" t="s">
        <v>26</v>
      </c>
      <c r="D127" s="3">
        <v>12</v>
      </c>
      <c r="E127" s="18" t="str">
        <f t="shared" si="16"/>
        <v>PAL-SKY-24h-12</v>
      </c>
    </row>
    <row r="128" spans="1:5" x14ac:dyDescent="0.2">
      <c r="A128" s="19" t="s">
        <v>7</v>
      </c>
      <c r="B128" s="20" t="s">
        <v>5</v>
      </c>
      <c r="C128" s="20" t="s">
        <v>26</v>
      </c>
      <c r="D128" s="20">
        <v>15</v>
      </c>
      <c r="E128" s="21" t="str">
        <f t="shared" si="16"/>
        <v>PAL-SKY-24h-15</v>
      </c>
    </row>
    <row r="129" spans="1:5" x14ac:dyDescent="0.2">
      <c r="A129" s="14" t="s">
        <v>7</v>
      </c>
      <c r="B129" s="15" t="s">
        <v>3</v>
      </c>
      <c r="C129" s="15" t="s">
        <v>27</v>
      </c>
      <c r="D129" s="15">
        <v>1</v>
      </c>
      <c r="E129" s="16" t="str">
        <f>_xlfn.CONCAT(A129,"-",B129,"-",C129,"-",D129)</f>
        <v>PAL-ROS-48h-1</v>
      </c>
    </row>
    <row r="130" spans="1:5" x14ac:dyDescent="0.2">
      <c r="A130" s="17" t="s">
        <v>7</v>
      </c>
      <c r="B130" s="3" t="s">
        <v>3</v>
      </c>
      <c r="C130" s="3" t="s">
        <v>27</v>
      </c>
      <c r="D130" s="3">
        <v>2</v>
      </c>
      <c r="E130" s="18" t="str">
        <f t="shared" ref="E130:E134" si="17">_xlfn.CONCAT(A130,"-",B130,"-",C130,"-",D130)</f>
        <v>PAL-ROS-48h-2</v>
      </c>
    </row>
    <row r="131" spans="1:5" x14ac:dyDescent="0.2">
      <c r="A131" s="17" t="s">
        <v>7</v>
      </c>
      <c r="B131" s="3" t="s">
        <v>3</v>
      </c>
      <c r="C131" s="3" t="s">
        <v>27</v>
      </c>
      <c r="D131" s="3">
        <v>3</v>
      </c>
      <c r="E131" s="18" t="str">
        <f t="shared" si="17"/>
        <v>PAL-ROS-48h-3</v>
      </c>
    </row>
    <row r="132" spans="1:5" x14ac:dyDescent="0.2">
      <c r="A132" s="17" t="s">
        <v>7</v>
      </c>
      <c r="B132" s="3" t="s">
        <v>3</v>
      </c>
      <c r="C132" s="3" t="s">
        <v>27</v>
      </c>
      <c r="D132" s="3">
        <v>8</v>
      </c>
      <c r="E132" s="18" t="str">
        <f t="shared" si="17"/>
        <v>PAL-ROS-48h-8</v>
      </c>
    </row>
    <row r="133" spans="1:5" x14ac:dyDescent="0.2">
      <c r="A133" s="17" t="s">
        <v>7</v>
      </c>
      <c r="B133" s="3" t="s">
        <v>3</v>
      </c>
      <c r="C133" s="3" t="s">
        <v>27</v>
      </c>
      <c r="D133" s="3">
        <v>12</v>
      </c>
      <c r="E133" s="18" t="str">
        <f t="shared" si="17"/>
        <v>PAL-ROS-48h-12</v>
      </c>
    </row>
    <row r="134" spans="1:5" x14ac:dyDescent="0.2">
      <c r="A134" s="19" t="s">
        <v>7</v>
      </c>
      <c r="B134" s="20" t="s">
        <v>3</v>
      </c>
      <c r="C134" s="20" t="s">
        <v>27</v>
      </c>
      <c r="D134" s="20">
        <v>15</v>
      </c>
      <c r="E134" s="21" t="str">
        <f t="shared" si="17"/>
        <v>PAL-ROS-48h-15</v>
      </c>
    </row>
    <row r="135" spans="1:5" x14ac:dyDescent="0.2">
      <c r="A135" s="14" t="s">
        <v>7</v>
      </c>
      <c r="B135" s="15" t="s">
        <v>5</v>
      </c>
      <c r="C135" s="15" t="s">
        <v>27</v>
      </c>
      <c r="D135" s="15">
        <v>1</v>
      </c>
      <c r="E135" s="16" t="str">
        <f>_xlfn.CONCAT(A135,"-",B135,"-",C135,"-",D135)</f>
        <v>PAL-SKY-48h-1</v>
      </c>
    </row>
    <row r="136" spans="1:5" x14ac:dyDescent="0.2">
      <c r="A136" s="17" t="s">
        <v>7</v>
      </c>
      <c r="B136" s="3" t="s">
        <v>5</v>
      </c>
      <c r="C136" s="3" t="s">
        <v>27</v>
      </c>
      <c r="D136" s="3">
        <v>2</v>
      </c>
      <c r="E136" s="18" t="str">
        <f t="shared" ref="E136:E144" si="18">_xlfn.CONCAT(A136,"-",B136,"-",C136,"-",D136)</f>
        <v>PAL-SKY-48h-2</v>
      </c>
    </row>
    <row r="137" spans="1:5" x14ac:dyDescent="0.2">
      <c r="A137" s="17" t="s">
        <v>7</v>
      </c>
      <c r="B137" s="3" t="s">
        <v>5</v>
      </c>
      <c r="C137" s="3" t="s">
        <v>27</v>
      </c>
      <c r="D137" s="3">
        <v>3</v>
      </c>
      <c r="E137" s="18" t="str">
        <f t="shared" si="18"/>
        <v>PAL-SKY-48h-3</v>
      </c>
    </row>
    <row r="138" spans="1:5" x14ac:dyDescent="0.2">
      <c r="A138" s="17" t="s">
        <v>7</v>
      </c>
      <c r="B138" s="3" t="s">
        <v>5</v>
      </c>
      <c r="C138" s="3" t="s">
        <v>27</v>
      </c>
      <c r="D138" s="3">
        <v>8</v>
      </c>
      <c r="E138" s="18" t="str">
        <f t="shared" si="18"/>
        <v>PAL-SKY-48h-8</v>
      </c>
    </row>
    <row r="139" spans="1:5" x14ac:dyDescent="0.2">
      <c r="A139" s="17" t="s">
        <v>7</v>
      </c>
      <c r="B139" s="3" t="s">
        <v>5</v>
      </c>
      <c r="C139" s="3" t="s">
        <v>27</v>
      </c>
      <c r="D139" s="3">
        <v>12</v>
      </c>
      <c r="E139" s="18" t="str">
        <f t="shared" si="18"/>
        <v>PAL-SKY-48h-12</v>
      </c>
    </row>
    <row r="140" spans="1:5" x14ac:dyDescent="0.2">
      <c r="A140" s="17" t="s">
        <v>7</v>
      </c>
      <c r="B140" s="3" t="s">
        <v>5</v>
      </c>
      <c r="C140" s="3" t="s">
        <v>27</v>
      </c>
      <c r="D140" s="3">
        <v>15</v>
      </c>
      <c r="E140" s="18" t="str">
        <f t="shared" si="18"/>
        <v>PAL-SKY-48h-15</v>
      </c>
    </row>
    <row r="141" spans="1:5" x14ac:dyDescent="0.2">
      <c r="A141" s="14" t="s">
        <v>7</v>
      </c>
      <c r="B141" s="15" t="s">
        <v>29</v>
      </c>
      <c r="C141" s="15"/>
      <c r="D141" s="15" t="s">
        <v>30</v>
      </c>
      <c r="E141" s="16" t="str">
        <f t="shared" si="18"/>
        <v>PAL-BLANK--A</v>
      </c>
    </row>
    <row r="142" spans="1:5" x14ac:dyDescent="0.2">
      <c r="A142" s="19" t="s">
        <v>7</v>
      </c>
      <c r="B142" s="20" t="s">
        <v>29</v>
      </c>
      <c r="C142" s="20"/>
      <c r="D142" s="20" t="s">
        <v>31</v>
      </c>
      <c r="E142" s="21" t="str">
        <f t="shared" si="18"/>
        <v>PAL-BLANK--B</v>
      </c>
    </row>
    <row r="143" spans="1:5" x14ac:dyDescent="0.2">
      <c r="A143" s="17" t="s">
        <v>7</v>
      </c>
      <c r="B143" s="3" t="s">
        <v>43</v>
      </c>
      <c r="C143" s="3"/>
      <c r="D143" s="3" t="s">
        <v>30</v>
      </c>
      <c r="E143" s="18" t="str">
        <f t="shared" si="18"/>
        <v>PAL-AMBIENT--A</v>
      </c>
    </row>
    <row r="144" spans="1:5" x14ac:dyDescent="0.2">
      <c r="A144" s="19" t="s">
        <v>7</v>
      </c>
      <c r="B144" s="20" t="s">
        <v>43</v>
      </c>
      <c r="C144" s="20"/>
      <c r="D144" s="20" t="s">
        <v>31</v>
      </c>
      <c r="E144" s="21" t="str">
        <f t="shared" si="18"/>
        <v>PAL-AMBIENT--B</v>
      </c>
    </row>
    <row r="145" spans="1:5" x14ac:dyDescent="0.2">
      <c r="A145" s="25" t="s">
        <v>6</v>
      </c>
      <c r="B145" s="4" t="s">
        <v>3</v>
      </c>
      <c r="C145" s="4" t="s">
        <v>23</v>
      </c>
      <c r="D145" s="4">
        <v>1</v>
      </c>
      <c r="E145" s="26" t="str">
        <f>_xlfn.CONCAT(A145,"-",B145,"-",C145,"-",D145)</f>
        <v>LOM-ROS-pre-1</v>
      </c>
    </row>
    <row r="146" spans="1:5" x14ac:dyDescent="0.2">
      <c r="A146" s="25" t="s">
        <v>6</v>
      </c>
      <c r="B146" s="4" t="s">
        <v>3</v>
      </c>
      <c r="C146" s="4" t="s">
        <v>23</v>
      </c>
      <c r="D146" s="4">
        <v>2</v>
      </c>
      <c r="E146" s="26" t="str">
        <f t="shared" ref="E146:E208" si="19">_xlfn.CONCAT(A146,"-",B146,"-",C146,"-",D146)</f>
        <v>LOM-ROS-pre-2</v>
      </c>
    </row>
    <row r="147" spans="1:5" x14ac:dyDescent="0.2">
      <c r="A147" s="25" t="s">
        <v>6</v>
      </c>
      <c r="B147" s="4" t="s">
        <v>3</v>
      </c>
      <c r="C147" s="4" t="s">
        <v>23</v>
      </c>
      <c r="D147" s="4">
        <v>3</v>
      </c>
      <c r="E147" s="26" t="str">
        <f t="shared" si="19"/>
        <v>LOM-ROS-pre-3</v>
      </c>
    </row>
    <row r="148" spans="1:5" x14ac:dyDescent="0.2">
      <c r="A148" s="25" t="s">
        <v>6</v>
      </c>
      <c r="B148" s="4" t="s">
        <v>3</v>
      </c>
      <c r="C148" s="4" t="s">
        <v>23</v>
      </c>
      <c r="D148" s="4">
        <v>8</v>
      </c>
      <c r="E148" s="26" t="str">
        <f t="shared" si="19"/>
        <v>LOM-ROS-pre-8</v>
      </c>
    </row>
    <row r="149" spans="1:5" x14ac:dyDescent="0.2">
      <c r="A149" s="25" t="s">
        <v>6</v>
      </c>
      <c r="B149" s="4" t="s">
        <v>3</v>
      </c>
      <c r="C149" s="4" t="s">
        <v>23</v>
      </c>
      <c r="D149" s="4">
        <v>12</v>
      </c>
      <c r="E149" s="26" t="str">
        <f t="shared" si="19"/>
        <v>LOM-ROS-pre-12</v>
      </c>
    </row>
    <row r="150" spans="1:5" x14ac:dyDescent="0.2">
      <c r="A150" s="27" t="s">
        <v>6</v>
      </c>
      <c r="B150" s="28" t="s">
        <v>3</v>
      </c>
      <c r="C150" s="28" t="s">
        <v>23</v>
      </c>
      <c r="D150" s="28">
        <v>15</v>
      </c>
      <c r="E150" s="29" t="str">
        <f t="shared" si="19"/>
        <v>LOM-ROS-pre-15</v>
      </c>
    </row>
    <row r="151" spans="1:5" x14ac:dyDescent="0.2">
      <c r="A151" s="22" t="s">
        <v>6</v>
      </c>
      <c r="B151" s="23" t="s">
        <v>5</v>
      </c>
      <c r="C151" s="23" t="s">
        <v>23</v>
      </c>
      <c r="D151" s="23">
        <v>1</v>
      </c>
      <c r="E151" s="24" t="str">
        <f t="shared" si="19"/>
        <v>LOM-SKY-pre-1</v>
      </c>
    </row>
    <row r="152" spans="1:5" x14ac:dyDescent="0.2">
      <c r="A152" s="25" t="s">
        <v>6</v>
      </c>
      <c r="B152" s="4" t="s">
        <v>5</v>
      </c>
      <c r="C152" s="4" t="s">
        <v>23</v>
      </c>
      <c r="D152" s="4">
        <v>2</v>
      </c>
      <c r="E152" s="26" t="str">
        <f t="shared" si="19"/>
        <v>LOM-SKY-pre-2</v>
      </c>
    </row>
    <row r="153" spans="1:5" x14ac:dyDescent="0.2">
      <c r="A153" s="25" t="s">
        <v>6</v>
      </c>
      <c r="B153" s="4" t="s">
        <v>5</v>
      </c>
      <c r="C153" s="4" t="s">
        <v>23</v>
      </c>
      <c r="D153" s="4">
        <v>3</v>
      </c>
      <c r="E153" s="26" t="str">
        <f t="shared" si="19"/>
        <v>LOM-SKY-pre-3</v>
      </c>
    </row>
    <row r="154" spans="1:5" x14ac:dyDescent="0.2">
      <c r="A154" s="25" t="s">
        <v>6</v>
      </c>
      <c r="B154" s="4" t="s">
        <v>5</v>
      </c>
      <c r="C154" s="4" t="s">
        <v>23</v>
      </c>
      <c r="D154" s="4">
        <v>8</v>
      </c>
      <c r="E154" s="26" t="str">
        <f t="shared" si="19"/>
        <v>LOM-SKY-pre-8</v>
      </c>
    </row>
    <row r="155" spans="1:5" x14ac:dyDescent="0.2">
      <c r="A155" s="25" t="s">
        <v>6</v>
      </c>
      <c r="B155" s="4" t="s">
        <v>5</v>
      </c>
      <c r="C155" s="4" t="s">
        <v>23</v>
      </c>
      <c r="D155" s="4">
        <v>12</v>
      </c>
      <c r="E155" s="26" t="str">
        <f t="shared" si="19"/>
        <v>LOM-SKY-pre-12</v>
      </c>
    </row>
    <row r="156" spans="1:5" x14ac:dyDescent="0.2">
      <c r="A156" s="27" t="s">
        <v>6</v>
      </c>
      <c r="B156" s="28" t="s">
        <v>5</v>
      </c>
      <c r="C156" s="28" t="s">
        <v>23</v>
      </c>
      <c r="D156" s="28">
        <v>15</v>
      </c>
      <c r="E156" s="29" t="str">
        <f t="shared" si="19"/>
        <v>LOM-SKY-pre-15</v>
      </c>
    </row>
    <row r="157" spans="1:5" x14ac:dyDescent="0.2">
      <c r="A157" s="22" t="s">
        <v>6</v>
      </c>
      <c r="B157" s="23" t="s">
        <v>3</v>
      </c>
      <c r="C157" s="23" t="s">
        <v>24</v>
      </c>
      <c r="D157" s="23">
        <v>1</v>
      </c>
      <c r="E157" s="24" t="str">
        <f t="shared" si="19"/>
        <v>LOM-ROS-1h-1</v>
      </c>
    </row>
    <row r="158" spans="1:5" x14ac:dyDescent="0.2">
      <c r="A158" s="25" t="s">
        <v>6</v>
      </c>
      <c r="B158" s="4" t="s">
        <v>3</v>
      </c>
      <c r="C158" s="4" t="s">
        <v>24</v>
      </c>
      <c r="D158" s="4">
        <v>2</v>
      </c>
      <c r="E158" s="26" t="str">
        <f t="shared" si="19"/>
        <v>LOM-ROS-1h-2</v>
      </c>
    </row>
    <row r="159" spans="1:5" x14ac:dyDescent="0.2">
      <c r="A159" s="25" t="s">
        <v>6</v>
      </c>
      <c r="B159" s="4" t="s">
        <v>3</v>
      </c>
      <c r="C159" s="4" t="s">
        <v>24</v>
      </c>
      <c r="D159" s="4">
        <v>3</v>
      </c>
      <c r="E159" s="26" t="str">
        <f t="shared" si="19"/>
        <v>LOM-ROS-1h-3</v>
      </c>
    </row>
    <row r="160" spans="1:5" x14ac:dyDescent="0.2">
      <c r="A160" s="25" t="s">
        <v>6</v>
      </c>
      <c r="B160" s="4" t="s">
        <v>3</v>
      </c>
      <c r="C160" s="4" t="s">
        <v>24</v>
      </c>
      <c r="D160" s="4">
        <v>8</v>
      </c>
      <c r="E160" s="26" t="str">
        <f t="shared" si="19"/>
        <v>LOM-ROS-1h-8</v>
      </c>
    </row>
    <row r="161" spans="1:5" x14ac:dyDescent="0.2">
      <c r="A161" s="25" t="s">
        <v>6</v>
      </c>
      <c r="B161" s="4" t="s">
        <v>3</v>
      </c>
      <c r="C161" s="4" t="s">
        <v>24</v>
      </c>
      <c r="D161" s="4">
        <v>12</v>
      </c>
      <c r="E161" s="26" t="str">
        <f t="shared" si="19"/>
        <v>LOM-ROS-1h-12</v>
      </c>
    </row>
    <row r="162" spans="1:5" x14ac:dyDescent="0.2">
      <c r="A162" s="27" t="s">
        <v>6</v>
      </c>
      <c r="B162" s="28" t="s">
        <v>3</v>
      </c>
      <c r="C162" s="28" t="s">
        <v>24</v>
      </c>
      <c r="D162" s="28">
        <v>15</v>
      </c>
      <c r="E162" s="29" t="str">
        <f t="shared" si="19"/>
        <v>LOM-ROS-1h-15</v>
      </c>
    </row>
    <row r="163" spans="1:5" x14ac:dyDescent="0.2">
      <c r="A163" s="22" t="s">
        <v>6</v>
      </c>
      <c r="B163" s="23" t="s">
        <v>5</v>
      </c>
      <c r="C163" s="23" t="s">
        <v>24</v>
      </c>
      <c r="D163" s="23">
        <v>1</v>
      </c>
      <c r="E163" s="24" t="str">
        <f t="shared" si="19"/>
        <v>LOM-SKY-1h-1</v>
      </c>
    </row>
    <row r="164" spans="1:5" x14ac:dyDescent="0.2">
      <c r="A164" s="25" t="s">
        <v>6</v>
      </c>
      <c r="B164" s="4" t="s">
        <v>5</v>
      </c>
      <c r="C164" s="4" t="s">
        <v>24</v>
      </c>
      <c r="D164" s="4">
        <v>2</v>
      </c>
      <c r="E164" s="26" t="str">
        <f t="shared" si="19"/>
        <v>LOM-SKY-1h-2</v>
      </c>
    </row>
    <row r="165" spans="1:5" x14ac:dyDescent="0.2">
      <c r="A165" s="25" t="s">
        <v>6</v>
      </c>
      <c r="B165" s="4" t="s">
        <v>5</v>
      </c>
      <c r="C165" s="4" t="s">
        <v>24</v>
      </c>
      <c r="D165" s="4">
        <v>3</v>
      </c>
      <c r="E165" s="26" t="str">
        <f t="shared" si="19"/>
        <v>LOM-SKY-1h-3</v>
      </c>
    </row>
    <row r="166" spans="1:5" x14ac:dyDescent="0.2">
      <c r="A166" s="25" t="s">
        <v>6</v>
      </c>
      <c r="B166" s="4" t="s">
        <v>5</v>
      </c>
      <c r="C166" s="4" t="s">
        <v>24</v>
      </c>
      <c r="D166" s="4">
        <v>8</v>
      </c>
      <c r="E166" s="26" t="str">
        <f t="shared" si="19"/>
        <v>LOM-SKY-1h-8</v>
      </c>
    </row>
    <row r="167" spans="1:5" x14ac:dyDescent="0.2">
      <c r="A167" s="25" t="s">
        <v>6</v>
      </c>
      <c r="B167" s="4" t="s">
        <v>5</v>
      </c>
      <c r="C167" s="4" t="s">
        <v>24</v>
      </c>
      <c r="D167" s="4">
        <v>12</v>
      </c>
      <c r="E167" s="26" t="str">
        <f t="shared" si="19"/>
        <v>LOM-SKY-1h-12</v>
      </c>
    </row>
    <row r="168" spans="1:5" x14ac:dyDescent="0.2">
      <c r="A168" s="27" t="s">
        <v>6</v>
      </c>
      <c r="B168" s="28" t="s">
        <v>5</v>
      </c>
      <c r="C168" s="28" t="s">
        <v>24</v>
      </c>
      <c r="D168" s="28">
        <v>15</v>
      </c>
      <c r="E168" s="29" t="str">
        <f t="shared" si="19"/>
        <v>LOM-SKY-1h-15</v>
      </c>
    </row>
    <row r="169" spans="1:5" x14ac:dyDescent="0.2">
      <c r="A169" s="22" t="s">
        <v>6</v>
      </c>
      <c r="B169" s="23" t="s">
        <v>3</v>
      </c>
      <c r="C169" s="23" t="s">
        <v>25</v>
      </c>
      <c r="D169" s="23">
        <v>1</v>
      </c>
      <c r="E169" s="24" t="str">
        <f t="shared" si="19"/>
        <v>LOM-ROS-6h-1</v>
      </c>
    </row>
    <row r="170" spans="1:5" x14ac:dyDescent="0.2">
      <c r="A170" s="25" t="s">
        <v>6</v>
      </c>
      <c r="B170" s="4" t="s">
        <v>3</v>
      </c>
      <c r="C170" s="4" t="s">
        <v>25</v>
      </c>
      <c r="D170" s="4">
        <v>2</v>
      </c>
      <c r="E170" s="26" t="str">
        <f t="shared" si="19"/>
        <v>LOM-ROS-6h-2</v>
      </c>
    </row>
    <row r="171" spans="1:5" x14ac:dyDescent="0.2">
      <c r="A171" s="25" t="s">
        <v>6</v>
      </c>
      <c r="B171" s="4" t="s">
        <v>3</v>
      </c>
      <c r="C171" s="4" t="s">
        <v>25</v>
      </c>
      <c r="D171" s="4">
        <v>3</v>
      </c>
      <c r="E171" s="26" t="str">
        <f t="shared" si="19"/>
        <v>LOM-ROS-6h-3</v>
      </c>
    </row>
    <row r="172" spans="1:5" x14ac:dyDescent="0.2">
      <c r="A172" s="25" t="s">
        <v>6</v>
      </c>
      <c r="B172" s="4" t="s">
        <v>3</v>
      </c>
      <c r="C172" s="4" t="s">
        <v>25</v>
      </c>
      <c r="D172" s="4">
        <v>8</v>
      </c>
      <c r="E172" s="26" t="str">
        <f t="shared" si="19"/>
        <v>LOM-ROS-6h-8</v>
      </c>
    </row>
    <row r="173" spans="1:5" x14ac:dyDescent="0.2">
      <c r="A173" s="25" t="s">
        <v>6</v>
      </c>
      <c r="B173" s="4" t="s">
        <v>3</v>
      </c>
      <c r="C173" s="4" t="s">
        <v>25</v>
      </c>
      <c r="D173" s="4">
        <v>12</v>
      </c>
      <c r="E173" s="26" t="str">
        <f t="shared" si="19"/>
        <v>LOM-ROS-6h-12</v>
      </c>
    </row>
    <row r="174" spans="1:5" x14ac:dyDescent="0.2">
      <c r="A174" s="27" t="s">
        <v>6</v>
      </c>
      <c r="B174" s="28" t="s">
        <v>3</v>
      </c>
      <c r="C174" s="28" t="s">
        <v>25</v>
      </c>
      <c r="D174" s="28">
        <v>15</v>
      </c>
      <c r="E174" s="29" t="str">
        <f t="shared" si="19"/>
        <v>LOM-ROS-6h-15</v>
      </c>
    </row>
    <row r="175" spans="1:5" x14ac:dyDescent="0.2">
      <c r="A175" s="22" t="s">
        <v>6</v>
      </c>
      <c r="B175" s="23" t="s">
        <v>5</v>
      </c>
      <c r="C175" s="23" t="s">
        <v>25</v>
      </c>
      <c r="D175" s="23">
        <v>1</v>
      </c>
      <c r="E175" s="24" t="str">
        <f t="shared" si="19"/>
        <v>LOM-SKY-6h-1</v>
      </c>
    </row>
    <row r="176" spans="1:5" x14ac:dyDescent="0.2">
      <c r="A176" s="25" t="s">
        <v>6</v>
      </c>
      <c r="B176" s="4" t="s">
        <v>5</v>
      </c>
      <c r="C176" s="4" t="s">
        <v>25</v>
      </c>
      <c r="D176" s="4">
        <v>2</v>
      </c>
      <c r="E176" s="26" t="str">
        <f t="shared" si="19"/>
        <v>LOM-SKY-6h-2</v>
      </c>
    </row>
    <row r="177" spans="1:5" x14ac:dyDescent="0.2">
      <c r="A177" s="25" t="s">
        <v>6</v>
      </c>
      <c r="B177" s="4" t="s">
        <v>5</v>
      </c>
      <c r="C177" s="4" t="s">
        <v>25</v>
      </c>
      <c r="D177" s="4">
        <v>3</v>
      </c>
      <c r="E177" s="26" t="str">
        <f t="shared" si="19"/>
        <v>LOM-SKY-6h-3</v>
      </c>
    </row>
    <row r="178" spans="1:5" x14ac:dyDescent="0.2">
      <c r="A178" s="25" t="s">
        <v>6</v>
      </c>
      <c r="B178" s="4" t="s">
        <v>5</v>
      </c>
      <c r="C178" s="4" t="s">
        <v>25</v>
      </c>
      <c r="D178" s="4">
        <v>8</v>
      </c>
      <c r="E178" s="26" t="str">
        <f t="shared" si="19"/>
        <v>LOM-SKY-6h-8</v>
      </c>
    </row>
    <row r="179" spans="1:5" x14ac:dyDescent="0.2">
      <c r="A179" s="25" t="s">
        <v>6</v>
      </c>
      <c r="B179" s="4" t="s">
        <v>5</v>
      </c>
      <c r="C179" s="4" t="s">
        <v>25</v>
      </c>
      <c r="D179" s="4">
        <v>12</v>
      </c>
      <c r="E179" s="26" t="str">
        <f t="shared" si="19"/>
        <v>LOM-SKY-6h-12</v>
      </c>
    </row>
    <row r="180" spans="1:5" x14ac:dyDescent="0.2">
      <c r="A180" s="27" t="s">
        <v>6</v>
      </c>
      <c r="B180" s="28" t="s">
        <v>5</v>
      </c>
      <c r="C180" s="28" t="s">
        <v>25</v>
      </c>
      <c r="D180" s="28">
        <v>15</v>
      </c>
      <c r="E180" s="29" t="str">
        <f t="shared" si="19"/>
        <v>LOM-SKY-6h-15</v>
      </c>
    </row>
    <row r="181" spans="1:5" x14ac:dyDescent="0.2">
      <c r="A181" s="22" t="s">
        <v>6</v>
      </c>
      <c r="B181" s="23" t="s">
        <v>3</v>
      </c>
      <c r="C181" s="23" t="s">
        <v>26</v>
      </c>
      <c r="D181" s="23">
        <v>1</v>
      </c>
      <c r="E181" s="24" t="str">
        <f t="shared" si="19"/>
        <v>LOM-ROS-24h-1</v>
      </c>
    </row>
    <row r="182" spans="1:5" x14ac:dyDescent="0.2">
      <c r="A182" s="25" t="s">
        <v>6</v>
      </c>
      <c r="B182" s="4" t="s">
        <v>3</v>
      </c>
      <c r="C182" s="4" t="s">
        <v>26</v>
      </c>
      <c r="D182" s="4">
        <v>2</v>
      </c>
      <c r="E182" s="26" t="str">
        <f t="shared" si="19"/>
        <v>LOM-ROS-24h-2</v>
      </c>
    </row>
    <row r="183" spans="1:5" x14ac:dyDescent="0.2">
      <c r="A183" s="25" t="s">
        <v>6</v>
      </c>
      <c r="B183" s="4" t="s">
        <v>3</v>
      </c>
      <c r="C183" s="4" t="s">
        <v>26</v>
      </c>
      <c r="D183" s="4">
        <v>3</v>
      </c>
      <c r="E183" s="26" t="str">
        <f t="shared" si="19"/>
        <v>LOM-ROS-24h-3</v>
      </c>
    </row>
    <row r="184" spans="1:5" x14ac:dyDescent="0.2">
      <c r="A184" s="25" t="s">
        <v>6</v>
      </c>
      <c r="B184" s="4" t="s">
        <v>3</v>
      </c>
      <c r="C184" s="4" t="s">
        <v>26</v>
      </c>
      <c r="D184" s="4">
        <v>8</v>
      </c>
      <c r="E184" s="26" t="str">
        <f t="shared" si="19"/>
        <v>LOM-ROS-24h-8</v>
      </c>
    </row>
    <row r="185" spans="1:5" x14ac:dyDescent="0.2">
      <c r="A185" s="25" t="s">
        <v>6</v>
      </c>
      <c r="B185" s="4" t="s">
        <v>3</v>
      </c>
      <c r="C185" s="4" t="s">
        <v>26</v>
      </c>
      <c r="D185" s="4">
        <v>12</v>
      </c>
      <c r="E185" s="26" t="str">
        <f t="shared" si="19"/>
        <v>LOM-ROS-24h-12</v>
      </c>
    </row>
    <row r="186" spans="1:5" x14ac:dyDescent="0.2">
      <c r="A186" s="27" t="s">
        <v>6</v>
      </c>
      <c r="B186" s="28" t="s">
        <v>3</v>
      </c>
      <c r="C186" s="28" t="s">
        <v>26</v>
      </c>
      <c r="D186" s="28">
        <v>15</v>
      </c>
      <c r="E186" s="29" t="str">
        <f t="shared" si="19"/>
        <v>LOM-ROS-24h-15</v>
      </c>
    </row>
    <row r="187" spans="1:5" x14ac:dyDescent="0.2">
      <c r="A187" s="22" t="s">
        <v>6</v>
      </c>
      <c r="B187" s="23" t="s">
        <v>5</v>
      </c>
      <c r="C187" s="23" t="s">
        <v>26</v>
      </c>
      <c r="D187" s="23">
        <v>1</v>
      </c>
      <c r="E187" s="24" t="str">
        <f t="shared" si="19"/>
        <v>LOM-SKY-24h-1</v>
      </c>
    </row>
    <row r="188" spans="1:5" x14ac:dyDescent="0.2">
      <c r="A188" s="25" t="s">
        <v>6</v>
      </c>
      <c r="B188" s="4" t="s">
        <v>5</v>
      </c>
      <c r="C188" s="4" t="s">
        <v>26</v>
      </c>
      <c r="D188" s="4">
        <v>2</v>
      </c>
      <c r="E188" s="26" t="str">
        <f t="shared" si="19"/>
        <v>LOM-SKY-24h-2</v>
      </c>
    </row>
    <row r="189" spans="1:5" x14ac:dyDescent="0.2">
      <c r="A189" s="25" t="s">
        <v>6</v>
      </c>
      <c r="B189" s="4" t="s">
        <v>5</v>
      </c>
      <c r="C189" s="4" t="s">
        <v>26</v>
      </c>
      <c r="D189" s="4">
        <v>3</v>
      </c>
      <c r="E189" s="26" t="str">
        <f t="shared" si="19"/>
        <v>LOM-SKY-24h-3</v>
      </c>
    </row>
    <row r="190" spans="1:5" x14ac:dyDescent="0.2">
      <c r="A190" s="25" t="s">
        <v>6</v>
      </c>
      <c r="B190" s="4" t="s">
        <v>5</v>
      </c>
      <c r="C190" s="4" t="s">
        <v>26</v>
      </c>
      <c r="D190" s="4">
        <v>8</v>
      </c>
      <c r="E190" s="26" t="str">
        <f t="shared" si="19"/>
        <v>LOM-SKY-24h-8</v>
      </c>
    </row>
    <row r="191" spans="1:5" x14ac:dyDescent="0.2">
      <c r="A191" s="25" t="s">
        <v>6</v>
      </c>
      <c r="B191" s="4" t="s">
        <v>5</v>
      </c>
      <c r="C191" s="4" t="s">
        <v>26</v>
      </c>
      <c r="D191" s="4">
        <v>12</v>
      </c>
      <c r="E191" s="26" t="str">
        <f t="shared" si="19"/>
        <v>LOM-SKY-24h-12</v>
      </c>
    </row>
    <row r="192" spans="1:5" x14ac:dyDescent="0.2">
      <c r="A192" s="27" t="s">
        <v>6</v>
      </c>
      <c r="B192" s="28" t="s">
        <v>5</v>
      </c>
      <c r="C192" s="28" t="s">
        <v>26</v>
      </c>
      <c r="D192" s="28">
        <v>15</v>
      </c>
      <c r="E192" s="29" t="str">
        <f t="shared" si="19"/>
        <v>LOM-SKY-24h-15</v>
      </c>
    </row>
    <row r="193" spans="1:5" x14ac:dyDescent="0.2">
      <c r="A193" s="22" t="s">
        <v>6</v>
      </c>
      <c r="B193" s="23" t="s">
        <v>3</v>
      </c>
      <c r="C193" s="23" t="s">
        <v>27</v>
      </c>
      <c r="D193" s="23">
        <v>1</v>
      </c>
      <c r="E193" s="24" t="str">
        <f t="shared" si="19"/>
        <v>LOM-ROS-48h-1</v>
      </c>
    </row>
    <row r="194" spans="1:5" x14ac:dyDescent="0.2">
      <c r="A194" s="25" t="s">
        <v>6</v>
      </c>
      <c r="B194" s="4" t="s">
        <v>3</v>
      </c>
      <c r="C194" s="4" t="s">
        <v>27</v>
      </c>
      <c r="D194" s="4">
        <v>2</v>
      </c>
      <c r="E194" s="26" t="str">
        <f t="shared" si="19"/>
        <v>LOM-ROS-48h-2</v>
      </c>
    </row>
    <row r="195" spans="1:5" x14ac:dyDescent="0.2">
      <c r="A195" s="25" t="s">
        <v>6</v>
      </c>
      <c r="B195" s="4" t="s">
        <v>3</v>
      </c>
      <c r="C195" s="4" t="s">
        <v>27</v>
      </c>
      <c r="D195" s="4">
        <v>3</v>
      </c>
      <c r="E195" s="26" t="str">
        <f t="shared" si="19"/>
        <v>LOM-ROS-48h-3</v>
      </c>
    </row>
    <row r="196" spans="1:5" x14ac:dyDescent="0.2">
      <c r="A196" s="25" t="s">
        <v>6</v>
      </c>
      <c r="B196" s="4" t="s">
        <v>3</v>
      </c>
      <c r="C196" s="4" t="s">
        <v>27</v>
      </c>
      <c r="D196" s="4">
        <v>8</v>
      </c>
      <c r="E196" s="26" t="str">
        <f t="shared" si="19"/>
        <v>LOM-ROS-48h-8</v>
      </c>
    </row>
    <row r="197" spans="1:5" x14ac:dyDescent="0.2">
      <c r="A197" s="25" t="s">
        <v>6</v>
      </c>
      <c r="B197" s="4" t="s">
        <v>3</v>
      </c>
      <c r="C197" s="4" t="s">
        <v>27</v>
      </c>
      <c r="D197" s="4">
        <v>12</v>
      </c>
      <c r="E197" s="26" t="str">
        <f t="shared" si="19"/>
        <v>LOM-ROS-48h-12</v>
      </c>
    </row>
    <row r="198" spans="1:5" x14ac:dyDescent="0.2">
      <c r="A198" s="27" t="s">
        <v>6</v>
      </c>
      <c r="B198" s="28" t="s">
        <v>3</v>
      </c>
      <c r="C198" s="28" t="s">
        <v>27</v>
      </c>
      <c r="D198" s="28">
        <v>15</v>
      </c>
      <c r="E198" s="29" t="str">
        <f t="shared" si="19"/>
        <v>LOM-ROS-48h-15</v>
      </c>
    </row>
    <row r="199" spans="1:5" x14ac:dyDescent="0.2">
      <c r="A199" s="22" t="s">
        <v>6</v>
      </c>
      <c r="B199" s="23" t="s">
        <v>5</v>
      </c>
      <c r="C199" s="23" t="s">
        <v>27</v>
      </c>
      <c r="D199" s="23">
        <v>1</v>
      </c>
      <c r="E199" s="24" t="str">
        <f t="shared" si="19"/>
        <v>LOM-SKY-48h-1</v>
      </c>
    </row>
    <row r="200" spans="1:5" x14ac:dyDescent="0.2">
      <c r="A200" s="25" t="s">
        <v>6</v>
      </c>
      <c r="B200" s="4" t="s">
        <v>5</v>
      </c>
      <c r="C200" s="4" t="s">
        <v>27</v>
      </c>
      <c r="D200" s="4">
        <v>2</v>
      </c>
      <c r="E200" s="26" t="str">
        <f t="shared" si="19"/>
        <v>LOM-SKY-48h-2</v>
      </c>
    </row>
    <row r="201" spans="1:5" x14ac:dyDescent="0.2">
      <c r="A201" s="25" t="s">
        <v>6</v>
      </c>
      <c r="B201" s="4" t="s">
        <v>5</v>
      </c>
      <c r="C201" s="4" t="s">
        <v>27</v>
      </c>
      <c r="D201" s="4">
        <v>3</v>
      </c>
      <c r="E201" s="26" t="str">
        <f t="shared" si="19"/>
        <v>LOM-SKY-48h-3</v>
      </c>
    </row>
    <row r="202" spans="1:5" x14ac:dyDescent="0.2">
      <c r="A202" s="25" t="s">
        <v>6</v>
      </c>
      <c r="B202" s="4" t="s">
        <v>5</v>
      </c>
      <c r="C202" s="4" t="s">
        <v>27</v>
      </c>
      <c r="D202" s="4">
        <v>8</v>
      </c>
      <c r="E202" s="26" t="str">
        <f t="shared" si="19"/>
        <v>LOM-SKY-48h-8</v>
      </c>
    </row>
    <row r="203" spans="1:5" x14ac:dyDescent="0.2">
      <c r="A203" s="25" t="s">
        <v>6</v>
      </c>
      <c r="B203" s="4" t="s">
        <v>5</v>
      </c>
      <c r="C203" s="4" t="s">
        <v>27</v>
      </c>
      <c r="D203" s="4">
        <v>12</v>
      </c>
      <c r="E203" s="26" t="str">
        <f t="shared" si="19"/>
        <v>LOM-SKY-48h-12</v>
      </c>
    </row>
    <row r="204" spans="1:5" x14ac:dyDescent="0.2">
      <c r="A204" s="25" t="s">
        <v>6</v>
      </c>
      <c r="B204" s="4" t="s">
        <v>5</v>
      </c>
      <c r="C204" s="4" t="s">
        <v>27</v>
      </c>
      <c r="D204" s="4">
        <v>15</v>
      </c>
      <c r="E204" s="26" t="str">
        <f t="shared" si="19"/>
        <v>LOM-SKY-48h-15</v>
      </c>
    </row>
    <row r="205" spans="1:5" x14ac:dyDescent="0.2">
      <c r="A205" s="22" t="s">
        <v>6</v>
      </c>
      <c r="B205" s="23" t="s">
        <v>29</v>
      </c>
      <c r="C205" s="23"/>
      <c r="D205" s="23" t="s">
        <v>30</v>
      </c>
      <c r="E205" s="24" t="str">
        <f t="shared" si="19"/>
        <v>LOM-BLANK--A</v>
      </c>
    </row>
    <row r="206" spans="1:5" x14ac:dyDescent="0.2">
      <c r="A206" s="27" t="s">
        <v>6</v>
      </c>
      <c r="B206" s="28" t="s">
        <v>29</v>
      </c>
      <c r="C206" s="28"/>
      <c r="D206" s="28" t="s">
        <v>31</v>
      </c>
      <c r="E206" s="29" t="str">
        <f t="shared" si="19"/>
        <v>LOM-BLANK--B</v>
      </c>
    </row>
    <row r="207" spans="1:5" x14ac:dyDescent="0.2">
      <c r="A207" s="25" t="s">
        <v>6</v>
      </c>
      <c r="B207" s="4" t="s">
        <v>43</v>
      </c>
      <c r="C207" s="4"/>
      <c r="D207" s="4" t="s">
        <v>30</v>
      </c>
      <c r="E207" s="26" t="str">
        <f t="shared" si="19"/>
        <v>LOM-AMBIENT--A</v>
      </c>
    </row>
    <row r="208" spans="1:5" x14ac:dyDescent="0.2">
      <c r="A208" s="27" t="s">
        <v>6</v>
      </c>
      <c r="B208" s="28" t="s">
        <v>43</v>
      </c>
      <c r="C208" s="28"/>
      <c r="D208" s="28" t="s">
        <v>31</v>
      </c>
      <c r="E208" s="29" t="str">
        <f t="shared" si="19"/>
        <v>LOM-AMBIENT--B</v>
      </c>
    </row>
  </sheetData>
  <mergeCells count="3">
    <mergeCell ref="A1:E1"/>
    <mergeCell ref="A2:E2"/>
    <mergeCell ref="A3:E3"/>
  </mergeCells>
  <conditionalFormatting sqref="A1:A208 A213:A1048576">
    <cfRule type="containsText" dxfId="4" priority="1" operator="containsText" text="LOM">
      <formula>NOT(ISERROR(SEARCH("LOM",A1)))</formula>
    </cfRule>
    <cfRule type="containsText" dxfId="3" priority="2" operator="containsText" text="PAL">
      <formula>NOT(ISERROR(SEARCH("PAL",A1)))</formula>
    </cfRule>
    <cfRule type="containsText" dxfId="2" priority="3" operator="containsText" text="JCR">
      <formula>NOT(ISERROR(SEARCH("JCR",A1)))</formula>
    </cfRule>
  </conditionalFormatting>
  <conditionalFormatting sqref="B1:B2 B4:B208 B213:B1048576">
    <cfRule type="containsText" dxfId="1" priority="4" operator="containsText" text="SKY">
      <formula>NOT(ISERROR(SEARCH("SKY",B1)))</formula>
    </cfRule>
    <cfRule type="containsText" dxfId="0" priority="5" operator="containsText" text="ROS">
      <formula>NOT(ISERROR(SEARCH("ROS",B1)))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86A4A-282D-CA4B-B0D5-A07157DA9037}">
  <dimension ref="A1:J10"/>
  <sheetViews>
    <sheetView zoomScale="229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G20" sqref="G20"/>
    </sheetView>
  </sheetViews>
  <sheetFormatPr baseColWidth="10" defaultRowHeight="15" x14ac:dyDescent="0.2"/>
  <cols>
    <col min="1" max="1" width="12.83203125" bestFit="1" customWidth="1"/>
    <col min="2" max="2" width="18.6640625" bestFit="1" customWidth="1"/>
    <col min="6" max="6" width="15.5" bestFit="1" customWidth="1"/>
    <col min="7" max="7" width="14" bestFit="1" customWidth="1"/>
    <col min="8" max="8" width="12" bestFit="1" customWidth="1"/>
  </cols>
  <sheetData>
    <row r="1" spans="1:10" x14ac:dyDescent="0.2">
      <c r="A1" t="s">
        <v>19</v>
      </c>
      <c r="B1" t="s">
        <v>161</v>
      </c>
      <c r="C1" t="s">
        <v>0</v>
      </c>
      <c r="D1" t="s">
        <v>164</v>
      </c>
      <c r="E1" t="s">
        <v>165</v>
      </c>
      <c r="F1" t="s">
        <v>167</v>
      </c>
      <c r="G1" t="s">
        <v>166</v>
      </c>
      <c r="H1" t="s">
        <v>168</v>
      </c>
      <c r="I1" t="s">
        <v>170</v>
      </c>
      <c r="J1" t="s">
        <v>171</v>
      </c>
    </row>
    <row r="2" spans="1:10" x14ac:dyDescent="0.2">
      <c r="A2" t="s">
        <v>169</v>
      </c>
      <c r="B2" t="s">
        <v>169</v>
      </c>
      <c r="C2" t="s">
        <v>169</v>
      </c>
      <c r="D2" t="s">
        <v>169</v>
      </c>
      <c r="E2">
        <v>2.31</v>
      </c>
      <c r="F2">
        <v>5.0199999999999996</v>
      </c>
      <c r="G2">
        <v>6.53</v>
      </c>
      <c r="H2">
        <f>G2-E2</f>
        <v>4.2200000000000006</v>
      </c>
      <c r="I2">
        <f>F2-H2</f>
        <v>0.79999999999999893</v>
      </c>
      <c r="J2">
        <f>(F2-H2)/H2</f>
        <v>0.18957345971563952</v>
      </c>
    </row>
    <row r="3" spans="1:10" x14ac:dyDescent="0.2">
      <c r="A3" t="s">
        <v>153</v>
      </c>
      <c r="B3" t="s">
        <v>17</v>
      </c>
      <c r="C3" t="s">
        <v>2</v>
      </c>
      <c r="D3" t="s">
        <v>3</v>
      </c>
      <c r="E3">
        <v>2.2610000000000001</v>
      </c>
      <c r="F3">
        <v>5.0129999999999999</v>
      </c>
    </row>
    <row r="4" spans="1:10" x14ac:dyDescent="0.2">
      <c r="A4" t="s">
        <v>154</v>
      </c>
      <c r="B4" t="s">
        <v>17</v>
      </c>
      <c r="C4" t="s">
        <v>2</v>
      </c>
      <c r="D4" t="s">
        <v>5</v>
      </c>
      <c r="E4">
        <v>2.2589999999999999</v>
      </c>
      <c r="F4">
        <v>5.0510000000000002</v>
      </c>
    </row>
    <row r="5" spans="1:10" x14ac:dyDescent="0.2">
      <c r="A5" t="s">
        <v>155</v>
      </c>
      <c r="B5" t="s">
        <v>162</v>
      </c>
      <c r="C5" t="s">
        <v>2</v>
      </c>
      <c r="D5" t="s">
        <v>3</v>
      </c>
      <c r="E5">
        <v>2.3570000000000002</v>
      </c>
      <c r="F5">
        <v>4.9119999999999999</v>
      </c>
    </row>
    <row r="6" spans="1:10" x14ac:dyDescent="0.2">
      <c r="A6" t="s">
        <v>156</v>
      </c>
      <c r="B6" t="s">
        <v>162</v>
      </c>
      <c r="C6" t="s">
        <v>2</v>
      </c>
      <c r="D6" t="s">
        <v>5</v>
      </c>
      <c r="E6">
        <v>2.5859999999999999</v>
      </c>
      <c r="F6">
        <v>5.0599999999999996</v>
      </c>
    </row>
    <row r="7" spans="1:10" x14ac:dyDescent="0.2">
      <c r="A7" t="s">
        <v>158</v>
      </c>
      <c r="B7" t="s">
        <v>17</v>
      </c>
      <c r="C7" t="s">
        <v>163</v>
      </c>
      <c r="D7" t="s">
        <v>3</v>
      </c>
      <c r="E7">
        <v>2.5190000000000001</v>
      </c>
      <c r="F7">
        <v>5.0030000000000001</v>
      </c>
    </row>
    <row r="8" spans="1:10" x14ac:dyDescent="0.2">
      <c r="A8" t="s">
        <v>157</v>
      </c>
      <c r="B8" t="s">
        <v>17</v>
      </c>
      <c r="C8" t="s">
        <v>163</v>
      </c>
      <c r="D8" t="s">
        <v>5</v>
      </c>
      <c r="E8">
        <v>2.573</v>
      </c>
      <c r="F8">
        <v>5.0209999999999999</v>
      </c>
    </row>
    <row r="9" spans="1:10" x14ac:dyDescent="0.2">
      <c r="A9" t="s">
        <v>159</v>
      </c>
      <c r="B9" t="s">
        <v>162</v>
      </c>
      <c r="C9" t="s">
        <v>163</v>
      </c>
      <c r="D9" t="s">
        <v>3</v>
      </c>
      <c r="E9">
        <v>2.4849999999999999</v>
      </c>
      <c r="F9">
        <v>5.0049999999999999</v>
      </c>
    </row>
    <row r="10" spans="1:10" x14ac:dyDescent="0.2">
      <c r="A10" t="s">
        <v>160</v>
      </c>
      <c r="B10" t="s">
        <v>162</v>
      </c>
      <c r="C10" t="s">
        <v>163</v>
      </c>
      <c r="D10" t="s">
        <v>5</v>
      </c>
      <c r="E10">
        <v>2.5</v>
      </c>
      <c r="F10">
        <v>5.0810000000000004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MAIN</vt:lpstr>
      <vt:lpstr>SIP-Incubation-Masses-and-LiCOR</vt:lpstr>
      <vt:lpstr>Trace Gas Metadata</vt:lpstr>
      <vt:lpstr>Gravimetric Water Content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Caro, Tristan A.</cp:lastModifiedBy>
  <cp:lastPrinted>2025-03-26T19:49:04Z</cp:lastPrinted>
  <dcterms:created xsi:type="dcterms:W3CDTF">2025-01-15T20:49:00Z</dcterms:created>
  <dcterms:modified xsi:type="dcterms:W3CDTF">2025-05-07T00:03:19Z</dcterms:modified>
</cp:coreProperties>
</file>
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DroughtSIP/data_output/"/>
    </mc:Choice>
  </mc:AlternateContent>
  <xr:revisionPtr revIDLastSave="0" documentId="13_ncr:1_{6AF63975-C34F-5948-8619-AF108F9F3A3A}" xr6:coauthVersionLast="47" xr6:coauthVersionMax="47" xr10:uidLastSave="{00000000-0000-0000-0000-000000000000}"/>
  <bookViews>
    <workbookView xWindow="30240" yWindow="500" windowWidth="38400" windowHeight="21100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4" i="1"/>
  <c r="P11" i="1"/>
  <c r="P12" i="1"/>
  <c r="P13" i="1"/>
  <c r="P14" i="1"/>
  <c r="P15" i="1"/>
  <c r="P22" i="1"/>
  <c r="P23" i="1"/>
  <c r="P24" i="1"/>
  <c r="P25" i="1"/>
  <c r="P26" i="1"/>
  <c r="P27" i="1"/>
  <c r="P10" i="1"/>
  <c r="H5" i="1"/>
  <c r="H6" i="1"/>
  <c r="H7" i="1"/>
  <c r="H8" i="1"/>
  <c r="H9" i="1"/>
  <c r="H10" i="1"/>
  <c r="H11" i="1"/>
  <c r="H12" i="1"/>
  <c r="H13" i="1"/>
  <c r="H14" i="1"/>
  <c r="H15" i="1"/>
  <c r="H16" i="1"/>
  <c r="H18" i="1"/>
  <c r="H19" i="1"/>
  <c r="H20" i="1"/>
  <c r="H21" i="1"/>
  <c r="H22" i="1"/>
  <c r="H23" i="1"/>
  <c r="H24" i="1"/>
  <c r="H25" i="1"/>
  <c r="H26" i="1"/>
  <c r="H27" i="1"/>
  <c r="H28" i="1"/>
  <c r="H29" i="1"/>
  <c r="H31" i="1"/>
  <c r="H32" i="1"/>
  <c r="H33" i="1"/>
  <c r="H34" i="1"/>
  <c r="H35" i="1"/>
  <c r="H36" i="1"/>
  <c r="H37" i="1"/>
  <c r="H38" i="1"/>
  <c r="H39" i="1"/>
  <c r="H40" i="1"/>
  <c r="H41" i="1"/>
  <c r="H42" i="1"/>
  <c r="H44" i="1"/>
  <c r="H45" i="1"/>
  <c r="H46" i="1"/>
  <c r="H47" i="1"/>
  <c r="H48" i="1"/>
  <c r="H49" i="1"/>
  <c r="H50" i="1"/>
  <c r="H51" i="1"/>
  <c r="H52" i="1"/>
  <c r="H53" i="1"/>
  <c r="H54" i="1"/>
  <c r="H55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2" i="1"/>
  <c r="F31" i="1"/>
  <c r="F30" i="1"/>
  <c r="F24" i="1"/>
  <c r="F18" i="1"/>
  <c r="F11" i="1"/>
  <c r="F5" i="1"/>
  <c r="AB33" i="1"/>
  <c r="AB32" i="1"/>
  <c r="AB31" i="1"/>
  <c r="AB30" i="1"/>
  <c r="AB29" i="1"/>
  <c r="AB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N27" i="1"/>
  <c r="N26" i="1"/>
  <c r="N25" i="1"/>
  <c r="N24" i="1"/>
  <c r="N23" i="1"/>
  <c r="N22" i="1"/>
  <c r="N21" i="1"/>
  <c r="N20" i="1"/>
  <c r="N19" i="1"/>
  <c r="N18" i="1"/>
  <c r="N17" i="1"/>
  <c r="N16" i="1"/>
  <c r="N5" i="1"/>
  <c r="N6" i="1"/>
  <c r="N7" i="1"/>
  <c r="N8" i="1"/>
  <c r="N9" i="1"/>
  <c r="N10" i="1"/>
  <c r="N11" i="1"/>
  <c r="N12" i="1"/>
  <c r="N13" i="1"/>
  <c r="N14" i="1"/>
  <c r="N15" i="1"/>
  <c r="N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34" i="1"/>
  <c r="AB35" i="1"/>
  <c r="AB36" i="1"/>
  <c r="AB37" i="1"/>
  <c r="AB38" i="1"/>
  <c r="AB39" i="1"/>
  <c r="AB4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5" i="1"/>
  <c r="AM14" i="1"/>
  <c r="AM13" i="1"/>
  <c r="AM12" i="1"/>
  <c r="AM5" i="1"/>
  <c r="AM6" i="1"/>
  <c r="AM7" i="1"/>
  <c r="AM8" i="1"/>
  <c r="AM9" i="1"/>
  <c r="AM10" i="1"/>
  <c r="AM11" i="1"/>
  <c r="AM4" i="1"/>
  <c r="AH33" i="1"/>
  <c r="AH32" i="1"/>
  <c r="AH31" i="1"/>
  <c r="AH30" i="1"/>
  <c r="AH29" i="1"/>
  <c r="AH28" i="1"/>
  <c r="AH15" i="1"/>
  <c r="AH14" i="1"/>
  <c r="AH13" i="1"/>
  <c r="AH12" i="1"/>
  <c r="AH11" i="1"/>
  <c r="AH10" i="1"/>
  <c r="AH5" i="1"/>
  <c r="AH6" i="1"/>
  <c r="AH7" i="1"/>
  <c r="AH8" i="1"/>
  <c r="AH9" i="1"/>
  <c r="AH4" i="1"/>
  <c r="F6" i="1"/>
  <c r="F7" i="1"/>
  <c r="F8" i="1"/>
  <c r="F9" i="1"/>
  <c r="F10" i="1"/>
  <c r="F12" i="1"/>
  <c r="F13" i="1"/>
  <c r="F14" i="1"/>
  <c r="F15" i="1"/>
  <c r="F16" i="1"/>
  <c r="F17" i="1"/>
  <c r="F19" i="1"/>
  <c r="F20" i="1"/>
  <c r="F21" i="1"/>
  <c r="F22" i="1"/>
  <c r="F23" i="1"/>
  <c r="F25" i="1"/>
  <c r="F26" i="1"/>
  <c r="F27" i="1"/>
  <c r="F28" i="1"/>
  <c r="F29" i="1"/>
  <c r="F4" i="1"/>
</calcChain>
</file>

<file path=xl/sharedStrings.xml><?xml version="1.0" encoding="utf-8"?>
<sst xmlns="http://schemas.openxmlformats.org/spreadsheetml/2006/main" count="1155" uniqueCount="49">
  <si>
    <t>site</t>
  </si>
  <si>
    <t>drought</t>
  </si>
  <si>
    <t>rewet</t>
  </si>
  <si>
    <t>JCR</t>
  </si>
  <si>
    <t>ROS</t>
  </si>
  <si>
    <t>WET</t>
  </si>
  <si>
    <t>SKY</t>
  </si>
  <si>
    <t>LOM</t>
  </si>
  <si>
    <t>PAL</t>
  </si>
  <si>
    <t>Lipid Analyses</t>
  </si>
  <si>
    <t>Metagenomics</t>
  </si>
  <si>
    <t>Metabolomics</t>
  </si>
  <si>
    <t>replicate</t>
  </si>
  <si>
    <t>dt_hr</t>
  </si>
  <si>
    <t>n</t>
  </si>
  <si>
    <t>CO2/CH4 flux</t>
  </si>
  <si>
    <t>15 mL withdrawn using gas-tight syringe, injected into 12mL glass exetainer</t>
  </si>
  <si>
    <t>timepoint</t>
  </si>
  <si>
    <t>PRE</t>
  </si>
  <si>
    <t>POST</t>
  </si>
  <si>
    <t>Trace Gas Samples</t>
  </si>
  <si>
    <t>sample_id</t>
  </si>
  <si>
    <t>SIP-TYPE</t>
  </si>
  <si>
    <t>VAPOR</t>
  </si>
  <si>
    <t>0-10cm soil, homogenized, 2g soil (dry weight) placed in 50 mL falcon tube, flash frozen. If "pre" sampled before rain. If "post", sampled 72hr after rain.</t>
  </si>
  <si>
    <t>dt</t>
  </si>
  <si>
    <t>pre</t>
  </si>
  <si>
    <t>1h</t>
  </si>
  <si>
    <t>6h</t>
  </si>
  <si>
    <t>24h</t>
  </si>
  <si>
    <t>48h</t>
  </si>
  <si>
    <t>Using LiCOR - these aren't physical samples but should be notated in the software with sample_id</t>
  </si>
  <si>
    <t>BLANK</t>
  </si>
  <si>
    <t>A</t>
  </si>
  <si>
    <t>B</t>
  </si>
  <si>
    <t>24hr</t>
  </si>
  <si>
    <t>0-10cm soil, homogenized, 5g per tube. If wet, add 0.5% D2O, if dry, see vapor-SIP incubation. Note that vapor 0hr time points don't exist because they are redundant with wet-SIP 0hr time points!</t>
  </si>
  <si>
    <t>fluid sampled from incubation, 0.2µm filtered, frozen for storage in 15 mL falcon tube</t>
  </si>
  <si>
    <t>NA</t>
  </si>
  <si>
    <t>rep</t>
  </si>
  <si>
    <t>0hr</t>
  </si>
  <si>
    <t>72hr</t>
  </si>
  <si>
    <t>DNA-SIP</t>
  </si>
  <si>
    <t xml:space="preserve">300 mg of homogenized, sieved soil added to a 2 mL falcon tube, mixed with 300 µL of 20% 18OH2, incubated for 72hrs. Timepoint zero are not mixed with 18O water and are instead frozen at -80˚C. </t>
  </si>
  <si>
    <t>2H Water Isotopes</t>
  </si>
  <si>
    <t>18O water isotopes</t>
  </si>
  <si>
    <t>AMBIENT</t>
  </si>
  <si>
    <t>0.5hr</t>
  </si>
  <si>
    <t>0-10cm soil, homogenized, 30 "ml" per falcon tube, flash frozen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</si>
</sst>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wrapText="1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7" borderId="1" xfId="0" applyFont="1" applyFill="1" applyBorder="1"/>
    <xf numFmtId="0" fontId="2" fillId="7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2" fillId="7" borderId="0" xfId="0" applyFont="1" applyFill="1"/>
    <xf numFmtId="0" fontId="2" fillId="7" borderId="5" xfId="0" applyFont="1" applyFill="1" applyBorder="1"/>
    <xf numFmtId="0" fontId="1" fillId="0" borderId="0" xfId="0" applyFont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8" borderId="0" xfId="0" applyFill="1" applyAlignment="1">
      <alignment horizontal="center" wrapText="1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color rgb="FF9C0006"/>
      </font>
    </dxf>
    <dxf>
      <font>
        <color rgb="FF002060"/>
      </font>
    </dxf>
    <dxf>
      <font>
        <color rgb="FF0070C0"/>
      </font>
    </dxf>
    <dxf>
      <font>
        <color rgb="FF7030A0"/>
      </font>
    </dxf>
    <dxf>
      <font>
        <color theme="9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7"/>
  <sheetViews>
    <sheetView tabSelected="1" zoomScale="150" zoomScaleNormal="13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Z39" sqref="Z39"/>
    </sheetView>
  </sheetViews>
  <sheetFormatPr baseColWidth="10" defaultColWidth="8.83203125" defaultRowHeight="15" x14ac:dyDescent="0.2"/>
  <cols>
    <col min="1" max="1" width="8.83203125" style="39"/>
    <col min="6" max="6" width="21" customWidth="1"/>
    <col min="8" max="8" width="25.33203125" customWidth="1"/>
    <col min="14" max="14" width="17.5" bestFit="1" customWidth="1"/>
    <col min="16" max="16" width="24.83203125" bestFit="1" customWidth="1"/>
    <col min="22" max="22" width="17.83203125" customWidth="1"/>
    <col min="28" max="28" width="17.1640625" customWidth="1"/>
    <col min="31" max="31" width="9" customWidth="1"/>
    <col min="34" max="34" width="14.1640625" bestFit="1" customWidth="1"/>
    <col min="35" max="35" width="12.83203125" customWidth="1"/>
    <col min="39" max="39" width="11.6640625" bestFit="1" customWidth="1"/>
  </cols>
  <sheetData>
    <row r="1" spans="1:39" x14ac:dyDescent="0.2">
      <c r="B1" s="51" t="s">
        <v>9</v>
      </c>
      <c r="C1" s="51"/>
      <c r="D1" s="51"/>
      <c r="E1" s="51"/>
      <c r="F1" s="51"/>
      <c r="H1" s="50" t="s">
        <v>44</v>
      </c>
      <c r="I1" s="39"/>
      <c r="J1" s="54" t="s">
        <v>42</v>
      </c>
      <c r="K1" s="54"/>
      <c r="L1" s="54"/>
      <c r="M1" s="54"/>
      <c r="N1" s="54"/>
      <c r="P1" s="50" t="s">
        <v>45</v>
      </c>
      <c r="R1" s="51" t="s">
        <v>10</v>
      </c>
      <c r="S1" s="51"/>
      <c r="T1" s="51"/>
      <c r="U1" s="51"/>
      <c r="V1" s="51"/>
      <c r="X1" s="51" t="s">
        <v>11</v>
      </c>
      <c r="Y1" s="51"/>
      <c r="Z1" s="51"/>
      <c r="AA1" s="51"/>
      <c r="AB1" s="51"/>
      <c r="AD1" s="51" t="s">
        <v>20</v>
      </c>
      <c r="AE1" s="51"/>
      <c r="AF1" s="51"/>
      <c r="AG1" s="51"/>
      <c r="AH1" s="51"/>
      <c r="AI1" s="1"/>
      <c r="AJ1" s="51" t="s">
        <v>15</v>
      </c>
      <c r="AK1" s="51"/>
      <c r="AL1" s="51"/>
      <c r="AM1" s="51"/>
    </row>
    <row r="2" spans="1:39" ht="52" customHeight="1" x14ac:dyDescent="0.2">
      <c r="B2" s="52" t="s">
        <v>36</v>
      </c>
      <c r="C2" s="52"/>
      <c r="D2" s="52"/>
      <c r="E2" s="52"/>
      <c r="F2" s="52"/>
      <c r="H2" s="49" t="s">
        <v>37</v>
      </c>
      <c r="J2" s="53" t="s">
        <v>43</v>
      </c>
      <c r="K2" s="53"/>
      <c r="L2" s="53"/>
      <c r="M2" s="53"/>
      <c r="N2" s="53"/>
      <c r="P2" s="49" t="s">
        <v>37</v>
      </c>
      <c r="R2" s="52" t="s">
        <v>48</v>
      </c>
      <c r="S2" s="52"/>
      <c r="T2" s="52"/>
      <c r="U2" s="52"/>
      <c r="V2" s="52"/>
      <c r="X2" s="52" t="s">
        <v>24</v>
      </c>
      <c r="Y2" s="52"/>
      <c r="Z2" s="52"/>
      <c r="AA2" s="52"/>
      <c r="AB2" s="52"/>
      <c r="AD2" s="52" t="s">
        <v>16</v>
      </c>
      <c r="AE2" s="52"/>
      <c r="AF2" s="52"/>
      <c r="AG2" s="52"/>
      <c r="AH2" s="52"/>
      <c r="AI2" s="5"/>
      <c r="AJ2" s="52" t="s">
        <v>31</v>
      </c>
      <c r="AK2" s="52"/>
      <c r="AL2" s="52"/>
      <c r="AM2" s="52"/>
    </row>
    <row r="3" spans="1:39" s="1" customFormat="1" x14ac:dyDescent="0.2">
      <c r="A3" s="1" t="s">
        <v>14</v>
      </c>
      <c r="B3" s="1" t="s">
        <v>0</v>
      </c>
      <c r="C3" s="1" t="s">
        <v>1</v>
      </c>
      <c r="D3" s="1" t="s">
        <v>22</v>
      </c>
      <c r="E3" s="1" t="s">
        <v>13</v>
      </c>
      <c r="F3" s="1" t="s">
        <v>21</v>
      </c>
      <c r="H3" s="1" t="s">
        <v>21</v>
      </c>
      <c r="J3" s="1" t="s">
        <v>0</v>
      </c>
      <c r="K3" s="1" t="s">
        <v>1</v>
      </c>
      <c r="L3" s="1" t="s">
        <v>13</v>
      </c>
      <c r="M3" s="1" t="s">
        <v>39</v>
      </c>
      <c r="N3" s="1" t="s">
        <v>21</v>
      </c>
      <c r="R3" s="1" t="s">
        <v>0</v>
      </c>
      <c r="S3" s="1" t="s">
        <v>1</v>
      </c>
      <c r="T3" s="1" t="s">
        <v>17</v>
      </c>
      <c r="U3" s="1" t="s">
        <v>12</v>
      </c>
      <c r="V3" s="1" t="s">
        <v>21</v>
      </c>
      <c r="X3" s="1" t="s">
        <v>0</v>
      </c>
      <c r="Y3" s="1" t="s">
        <v>1</v>
      </c>
      <c r="Z3" s="1" t="s">
        <v>2</v>
      </c>
      <c r="AA3" s="1" t="s">
        <v>12</v>
      </c>
      <c r="AB3" s="1" t="s">
        <v>21</v>
      </c>
      <c r="AD3" s="1" t="s">
        <v>0</v>
      </c>
      <c r="AE3" s="1" t="s">
        <v>1</v>
      </c>
      <c r="AF3" s="1" t="s">
        <v>17</v>
      </c>
      <c r="AG3" s="1" t="s">
        <v>25</v>
      </c>
      <c r="AH3" s="1" t="s">
        <v>21</v>
      </c>
      <c r="AJ3" s="1" t="s">
        <v>0</v>
      </c>
      <c r="AK3" s="1" t="s">
        <v>1</v>
      </c>
      <c r="AL3" s="1" t="s">
        <v>17</v>
      </c>
      <c r="AM3" s="1" t="s">
        <v>21</v>
      </c>
    </row>
    <row r="4" spans="1:39" x14ac:dyDescent="0.2">
      <c r="A4" s="39">
        <v>1</v>
      </c>
      <c r="B4" s="6" t="s">
        <v>3</v>
      </c>
      <c r="C4" s="7" t="s">
        <v>4</v>
      </c>
      <c r="D4" s="7" t="s">
        <v>5</v>
      </c>
      <c r="E4" s="7">
        <v>0</v>
      </c>
      <c r="F4" s="2" t="str">
        <f>_xlfn.CONCAT("LS","-",B4,"-",C4,"-",D4,"-",E4,"hr")</f>
        <v>LS-JCR-ROS-WET-0hr</v>
      </c>
      <c r="H4" s="2" t="s">
        <v>38</v>
      </c>
      <c r="J4" s="44" t="s">
        <v>3</v>
      </c>
      <c r="K4" s="44" t="s">
        <v>4</v>
      </c>
      <c r="L4" s="44" t="s">
        <v>40</v>
      </c>
      <c r="M4" s="44">
        <v>1</v>
      </c>
      <c r="N4" s="44" t="str">
        <f t="shared" ref="N4:N16" si="0">_xlfn.CONCAT("CUE-",J4,"-",K4,"-",L4,"-",M4)</f>
        <v>CUE-JCR-ROS-0hr-1</v>
      </c>
      <c r="P4" t="s">
        <v>38</v>
      </c>
      <c r="R4" s="2" t="s">
        <v>3</v>
      </c>
      <c r="S4" s="2" t="s">
        <v>4</v>
      </c>
      <c r="T4" s="2" t="s">
        <v>18</v>
      </c>
      <c r="U4" s="2">
        <v>1</v>
      </c>
      <c r="V4" s="2" t="str">
        <f>_xlfn.CONCAT(R4, "-",S4,"-",T4,"-",U4)</f>
        <v>JCR-ROS-PRE-1</v>
      </c>
      <c r="X4" s="6" t="s">
        <v>3</v>
      </c>
      <c r="Y4" s="7" t="s">
        <v>4</v>
      </c>
      <c r="Z4" s="7" t="s">
        <v>18</v>
      </c>
      <c r="AA4" s="7">
        <v>1</v>
      </c>
      <c r="AB4" s="8" t="str">
        <f t="shared" ref="AB4:AB39" si="1">_xlfn.CONCAT(X4,"-",Y4,"-",Z4,"-",AA4)</f>
        <v>JCR-ROS-PRE-1</v>
      </c>
      <c r="AD4" s="6" t="s">
        <v>3</v>
      </c>
      <c r="AE4" s="7" t="s">
        <v>4</v>
      </c>
      <c r="AF4" s="7" t="s">
        <v>26</v>
      </c>
      <c r="AG4" s="7">
        <v>1</v>
      </c>
      <c r="AH4" s="8" t="str">
        <f t="shared" ref="AH4:AH22" si="2">_xlfn.CONCAT(AD4,"-",AE4,"-",AF4,"-",AG4)</f>
        <v>JCR-ROS-pre-1</v>
      </c>
      <c r="AJ4" s="40" t="s">
        <v>3</v>
      </c>
      <c r="AK4" s="41" t="s">
        <v>4</v>
      </c>
      <c r="AL4" s="41" t="s">
        <v>26</v>
      </c>
      <c r="AM4" s="42" t="str">
        <f t="shared" ref="AM4:AM12" si="3">_xlfn.CONCAT(AJ4,"-",AK4,"-",AL4)</f>
        <v>JCR-ROS-pre</v>
      </c>
    </row>
    <row r="5" spans="1:39" x14ac:dyDescent="0.2">
      <c r="A5" s="39">
        <v>2</v>
      </c>
      <c r="B5" s="9" t="s">
        <v>3</v>
      </c>
      <c r="C5" s="2" t="s">
        <v>4</v>
      </c>
      <c r="D5" s="2" t="s">
        <v>5</v>
      </c>
      <c r="E5" s="2">
        <v>1</v>
      </c>
      <c r="F5" s="10" t="str">
        <f>_xlfn.CONCAT("LS","-",B5,"-",C5,"-",D5,"-",E5,"hr")</f>
        <v>LS-JCR-ROS-WET-1hr</v>
      </c>
      <c r="H5" s="2" t="str">
        <f t="shared" ref="H5:H55" si="4">_xlfn.CONCAT(F5, "-d2H")</f>
        <v>LS-JCR-ROS-WET-1hr-d2H</v>
      </c>
      <c r="J5" s="44" t="s">
        <v>3</v>
      </c>
      <c r="K5" s="44" t="s">
        <v>4</v>
      </c>
      <c r="L5" s="44" t="s">
        <v>40</v>
      </c>
      <c r="M5" s="44">
        <v>2</v>
      </c>
      <c r="N5" s="44" t="str">
        <f t="shared" si="0"/>
        <v>CUE-JCR-ROS-0hr-2</v>
      </c>
      <c r="P5" t="s">
        <v>38</v>
      </c>
      <c r="R5" s="2" t="s">
        <v>3</v>
      </c>
      <c r="S5" s="2" t="s">
        <v>4</v>
      </c>
      <c r="T5" s="2" t="s">
        <v>18</v>
      </c>
      <c r="U5" s="2">
        <v>2</v>
      </c>
      <c r="V5" s="2" t="str">
        <f t="shared" ref="V5:V27" si="5">_xlfn.CONCAT(R5, "-",S5,"-",T5,"-",U5)</f>
        <v>JCR-ROS-PRE-2</v>
      </c>
      <c r="X5" s="9" t="s">
        <v>3</v>
      </c>
      <c r="Y5" s="2" t="s">
        <v>4</v>
      </c>
      <c r="Z5" s="2" t="s">
        <v>18</v>
      </c>
      <c r="AA5" s="2">
        <v>2</v>
      </c>
      <c r="AB5" s="10" t="str">
        <f t="shared" si="1"/>
        <v>JCR-ROS-PRE-2</v>
      </c>
      <c r="AD5" s="9" t="s">
        <v>3</v>
      </c>
      <c r="AE5" s="2" t="s">
        <v>4</v>
      </c>
      <c r="AF5" s="2" t="s">
        <v>26</v>
      </c>
      <c r="AG5" s="2">
        <v>2</v>
      </c>
      <c r="AH5" s="10" t="str">
        <f t="shared" si="2"/>
        <v>JCR-ROS-pre-2</v>
      </c>
      <c r="AJ5" s="43" t="s">
        <v>3</v>
      </c>
      <c r="AK5" s="44" t="s">
        <v>6</v>
      </c>
      <c r="AL5" s="44" t="s">
        <v>26</v>
      </c>
      <c r="AM5" s="45" t="str">
        <f t="shared" si="3"/>
        <v>JCR-SKY-pre</v>
      </c>
    </row>
    <row r="6" spans="1:39" x14ac:dyDescent="0.2">
      <c r="A6" s="39">
        <v>3</v>
      </c>
      <c r="B6" s="9" t="s">
        <v>3</v>
      </c>
      <c r="C6" s="2" t="s">
        <v>4</v>
      </c>
      <c r="D6" s="2" t="s">
        <v>5</v>
      </c>
      <c r="E6" s="2">
        <v>3</v>
      </c>
      <c r="F6" s="10" t="str">
        <f t="shared" ref="F6:F11" si="6">_xlfn.CONCAT("LS","-",B6,"-",C6,"-",D6,"-",E6,"hr")</f>
        <v>LS-JCR-ROS-WET-3hr</v>
      </c>
      <c r="H6" s="2" t="str">
        <f t="shared" si="4"/>
        <v>LS-JCR-ROS-WET-3hr-d2H</v>
      </c>
      <c r="J6" s="44" t="s">
        <v>3</v>
      </c>
      <c r="K6" s="44" t="s">
        <v>4</v>
      </c>
      <c r="L6" s="44" t="s">
        <v>40</v>
      </c>
      <c r="M6" s="44">
        <v>3</v>
      </c>
      <c r="N6" s="44" t="str">
        <f t="shared" si="0"/>
        <v>CUE-JCR-ROS-0hr-3</v>
      </c>
      <c r="P6" t="s">
        <v>38</v>
      </c>
      <c r="R6" s="2" t="s">
        <v>3</v>
      </c>
      <c r="S6" s="2" t="s">
        <v>4</v>
      </c>
      <c r="T6" s="2" t="s">
        <v>18</v>
      </c>
      <c r="U6" s="2">
        <v>3</v>
      </c>
      <c r="V6" s="2" t="str">
        <f t="shared" si="5"/>
        <v>JCR-ROS-PRE-3</v>
      </c>
      <c r="X6" s="11" t="s">
        <v>3</v>
      </c>
      <c r="Y6" s="12" t="s">
        <v>4</v>
      </c>
      <c r="Z6" s="12" t="s">
        <v>18</v>
      </c>
      <c r="AA6" s="12">
        <v>3</v>
      </c>
      <c r="AB6" s="13" t="str">
        <f t="shared" si="1"/>
        <v>JCR-ROS-PRE-3</v>
      </c>
      <c r="AD6" s="9" t="s">
        <v>3</v>
      </c>
      <c r="AE6" s="2" t="s">
        <v>4</v>
      </c>
      <c r="AF6" s="2" t="s">
        <v>26</v>
      </c>
      <c r="AG6" s="2">
        <v>3</v>
      </c>
      <c r="AH6" s="10" t="str">
        <f t="shared" si="2"/>
        <v>JCR-ROS-pre-3</v>
      </c>
      <c r="AJ6" s="43" t="s">
        <v>3</v>
      </c>
      <c r="AK6" s="44" t="s">
        <v>4</v>
      </c>
      <c r="AL6" s="44" t="s">
        <v>27</v>
      </c>
      <c r="AM6" s="45" t="str">
        <f t="shared" si="3"/>
        <v>JCR-ROS-1h</v>
      </c>
    </row>
    <row r="7" spans="1:39" x14ac:dyDescent="0.2">
      <c r="A7" s="39">
        <v>4</v>
      </c>
      <c r="B7" s="9" t="s">
        <v>3</v>
      </c>
      <c r="C7" s="2" t="s">
        <v>4</v>
      </c>
      <c r="D7" s="2" t="s">
        <v>5</v>
      </c>
      <c r="E7" s="2">
        <v>6</v>
      </c>
      <c r="F7" s="10" t="str">
        <f t="shared" si="6"/>
        <v>LS-JCR-ROS-WET-6hr</v>
      </c>
      <c r="H7" s="2" t="str">
        <f t="shared" si="4"/>
        <v>LS-JCR-ROS-WET-6hr-d2H</v>
      </c>
      <c r="J7" s="44" t="s">
        <v>3</v>
      </c>
      <c r="K7" s="44" t="s">
        <v>6</v>
      </c>
      <c r="L7" s="44" t="s">
        <v>40</v>
      </c>
      <c r="M7" s="44">
        <v>1</v>
      </c>
      <c r="N7" s="44" t="str">
        <f t="shared" si="0"/>
        <v>CUE-JCR-SKY-0hr-1</v>
      </c>
      <c r="P7" t="s">
        <v>38</v>
      </c>
      <c r="R7" s="2" t="s">
        <v>3</v>
      </c>
      <c r="S7" s="2" t="s">
        <v>6</v>
      </c>
      <c r="T7" s="2" t="s">
        <v>18</v>
      </c>
      <c r="U7" s="2">
        <v>1</v>
      </c>
      <c r="V7" s="2" t="str">
        <f t="shared" si="5"/>
        <v>JCR-SKY-PRE-1</v>
      </c>
      <c r="X7" s="6" t="s">
        <v>3</v>
      </c>
      <c r="Y7" s="7" t="s">
        <v>6</v>
      </c>
      <c r="Z7" s="7" t="s">
        <v>18</v>
      </c>
      <c r="AA7" s="7">
        <v>1</v>
      </c>
      <c r="AB7" s="8" t="str">
        <f t="shared" si="1"/>
        <v>JCR-SKY-PRE-1</v>
      </c>
      <c r="AD7" s="9" t="s">
        <v>3</v>
      </c>
      <c r="AE7" s="2" t="s">
        <v>4</v>
      </c>
      <c r="AF7" s="2" t="s">
        <v>26</v>
      </c>
      <c r="AG7" s="2">
        <v>8</v>
      </c>
      <c r="AH7" s="10" t="str">
        <f t="shared" si="2"/>
        <v>JCR-ROS-pre-8</v>
      </c>
      <c r="AJ7" s="43" t="s">
        <v>3</v>
      </c>
      <c r="AK7" s="44" t="s">
        <v>6</v>
      </c>
      <c r="AL7" s="44" t="s">
        <v>27</v>
      </c>
      <c r="AM7" s="45" t="str">
        <f t="shared" si="3"/>
        <v>JCR-SKY-1h</v>
      </c>
    </row>
    <row r="8" spans="1:39" x14ac:dyDescent="0.2">
      <c r="A8" s="39">
        <v>5</v>
      </c>
      <c r="B8" s="9" t="s">
        <v>3</v>
      </c>
      <c r="C8" s="2" t="s">
        <v>4</v>
      </c>
      <c r="D8" s="2" t="s">
        <v>5</v>
      </c>
      <c r="E8" s="2">
        <v>24</v>
      </c>
      <c r="F8" s="10" t="str">
        <f t="shared" si="6"/>
        <v>LS-JCR-ROS-WET-24hr</v>
      </c>
      <c r="H8" s="2" t="str">
        <f t="shared" si="4"/>
        <v>LS-JCR-ROS-WET-24hr-d2H</v>
      </c>
      <c r="J8" s="44" t="s">
        <v>3</v>
      </c>
      <c r="K8" s="44" t="s">
        <v>6</v>
      </c>
      <c r="L8" s="44" t="s">
        <v>40</v>
      </c>
      <c r="M8" s="44">
        <v>2</v>
      </c>
      <c r="N8" s="44" t="str">
        <f t="shared" si="0"/>
        <v>CUE-JCR-SKY-0hr-2</v>
      </c>
      <c r="P8" t="s">
        <v>38</v>
      </c>
      <c r="R8" s="2" t="s">
        <v>3</v>
      </c>
      <c r="S8" s="2" t="s">
        <v>6</v>
      </c>
      <c r="T8" s="2" t="s">
        <v>18</v>
      </c>
      <c r="U8" s="2">
        <v>2</v>
      </c>
      <c r="V8" s="2" t="str">
        <f t="shared" si="5"/>
        <v>JCR-SKY-PRE-2</v>
      </c>
      <c r="X8" s="9" t="s">
        <v>3</v>
      </c>
      <c r="Y8" s="2" t="s">
        <v>6</v>
      </c>
      <c r="Z8" s="2" t="s">
        <v>18</v>
      </c>
      <c r="AA8" s="2">
        <v>2</v>
      </c>
      <c r="AB8" s="10" t="str">
        <f t="shared" si="1"/>
        <v>JCR-SKY-PRE-2</v>
      </c>
      <c r="AD8" s="9" t="s">
        <v>3</v>
      </c>
      <c r="AE8" s="2" t="s">
        <v>4</v>
      </c>
      <c r="AF8" s="2" t="s">
        <v>26</v>
      </c>
      <c r="AG8" s="2">
        <v>12</v>
      </c>
      <c r="AH8" s="10" t="str">
        <f t="shared" si="2"/>
        <v>JCR-ROS-pre-12</v>
      </c>
      <c r="AJ8" s="43" t="s">
        <v>3</v>
      </c>
      <c r="AK8" s="44" t="s">
        <v>4</v>
      </c>
      <c r="AL8" s="44" t="s">
        <v>28</v>
      </c>
      <c r="AM8" s="45" t="str">
        <f t="shared" si="3"/>
        <v>JCR-ROS-6h</v>
      </c>
    </row>
    <row r="9" spans="1:39" x14ac:dyDescent="0.2">
      <c r="A9" s="39">
        <v>6</v>
      </c>
      <c r="B9" s="9" t="s">
        <v>3</v>
      </c>
      <c r="C9" s="2" t="s">
        <v>4</v>
      </c>
      <c r="D9" s="2" t="s">
        <v>5</v>
      </c>
      <c r="E9" s="2">
        <v>48</v>
      </c>
      <c r="F9" s="10" t="str">
        <f t="shared" si="6"/>
        <v>LS-JCR-ROS-WET-48hr</v>
      </c>
      <c r="H9" s="2" t="str">
        <f t="shared" si="4"/>
        <v>LS-JCR-ROS-WET-48hr-d2H</v>
      </c>
      <c r="J9" s="44" t="s">
        <v>3</v>
      </c>
      <c r="K9" s="44" t="s">
        <v>6</v>
      </c>
      <c r="L9" s="44" t="s">
        <v>40</v>
      </c>
      <c r="M9" s="44">
        <v>3</v>
      </c>
      <c r="N9" s="44" t="str">
        <f t="shared" si="0"/>
        <v>CUE-JCR-SKY-0hr-3</v>
      </c>
      <c r="P9" t="s">
        <v>38</v>
      </c>
      <c r="R9" s="2" t="s">
        <v>3</v>
      </c>
      <c r="S9" s="2" t="s">
        <v>6</v>
      </c>
      <c r="T9" s="2" t="s">
        <v>18</v>
      </c>
      <c r="U9" s="2">
        <v>3</v>
      </c>
      <c r="V9" s="2" t="str">
        <f t="shared" si="5"/>
        <v>JCR-SKY-PRE-3</v>
      </c>
      <c r="X9" s="11" t="s">
        <v>3</v>
      </c>
      <c r="Y9" s="12" t="s">
        <v>6</v>
      </c>
      <c r="Z9" s="12" t="s">
        <v>18</v>
      </c>
      <c r="AA9" s="12">
        <v>3</v>
      </c>
      <c r="AB9" s="13" t="str">
        <f t="shared" si="1"/>
        <v>JCR-SKY-PRE-3</v>
      </c>
      <c r="AD9" s="11" t="s">
        <v>3</v>
      </c>
      <c r="AE9" s="12" t="s">
        <v>4</v>
      </c>
      <c r="AF9" s="12" t="s">
        <v>26</v>
      </c>
      <c r="AG9" s="12">
        <v>15</v>
      </c>
      <c r="AH9" s="13" t="str">
        <f t="shared" si="2"/>
        <v>JCR-ROS-pre-15</v>
      </c>
      <c r="AJ9" s="43" t="s">
        <v>3</v>
      </c>
      <c r="AK9" s="44" t="s">
        <v>6</v>
      </c>
      <c r="AL9" s="44" t="s">
        <v>28</v>
      </c>
      <c r="AM9" s="45" t="str">
        <f t="shared" si="3"/>
        <v>JCR-SKY-6h</v>
      </c>
    </row>
    <row r="10" spans="1:39" x14ac:dyDescent="0.2">
      <c r="A10" s="39">
        <v>7</v>
      </c>
      <c r="B10" s="11" t="s">
        <v>3</v>
      </c>
      <c r="C10" s="12" t="s">
        <v>4</v>
      </c>
      <c r="D10" s="12" t="s">
        <v>5</v>
      </c>
      <c r="E10" s="12">
        <v>72</v>
      </c>
      <c r="F10" s="13" t="str">
        <f t="shared" si="6"/>
        <v>LS-JCR-ROS-WET-72hr</v>
      </c>
      <c r="H10" s="2" t="str">
        <f t="shared" si="4"/>
        <v>LS-JCR-ROS-WET-72hr-d2H</v>
      </c>
      <c r="J10" s="44" t="s">
        <v>3</v>
      </c>
      <c r="K10" s="44" t="s">
        <v>4</v>
      </c>
      <c r="L10" s="44" t="s">
        <v>41</v>
      </c>
      <c r="M10" s="44">
        <v>1</v>
      </c>
      <c r="N10" s="44" t="str">
        <f t="shared" si="0"/>
        <v>CUE-JCR-ROS-72hr-1</v>
      </c>
      <c r="P10" t="str">
        <f>_xlfn.CONCAT(N10, "-d18O")</f>
        <v>CUE-JCR-ROS-72hr-1-d18O</v>
      </c>
      <c r="R10" s="2" t="s">
        <v>3</v>
      </c>
      <c r="S10" s="2" t="s">
        <v>4</v>
      </c>
      <c r="T10" s="2" t="s">
        <v>19</v>
      </c>
      <c r="U10" s="2">
        <v>1</v>
      </c>
      <c r="V10" s="2" t="str">
        <f t="shared" si="5"/>
        <v>JCR-ROS-POST-1</v>
      </c>
      <c r="X10" s="6" t="s">
        <v>3</v>
      </c>
      <c r="Y10" s="7" t="s">
        <v>4</v>
      </c>
      <c r="Z10" s="7" t="s">
        <v>35</v>
      </c>
      <c r="AA10" s="7">
        <v>1</v>
      </c>
      <c r="AB10" s="8" t="str">
        <f t="shared" si="1"/>
        <v>JCR-ROS-24hr-1</v>
      </c>
      <c r="AD10" s="6" t="s">
        <v>3</v>
      </c>
      <c r="AE10" s="7" t="s">
        <v>6</v>
      </c>
      <c r="AF10" s="7" t="s">
        <v>26</v>
      </c>
      <c r="AG10" s="7">
        <v>1</v>
      </c>
      <c r="AH10" s="8" t="str">
        <f t="shared" si="2"/>
        <v>JCR-SKY-pre-1</v>
      </c>
      <c r="AJ10" s="43" t="s">
        <v>3</v>
      </c>
      <c r="AK10" s="44" t="s">
        <v>4</v>
      </c>
      <c r="AL10" s="44" t="s">
        <v>29</v>
      </c>
      <c r="AM10" s="45" t="str">
        <f t="shared" si="3"/>
        <v>JCR-ROS-24h</v>
      </c>
    </row>
    <row r="11" spans="1:39" x14ac:dyDescent="0.2">
      <c r="A11" s="39">
        <v>8</v>
      </c>
      <c r="B11" s="9" t="s">
        <v>3</v>
      </c>
      <c r="C11" s="2" t="s">
        <v>4</v>
      </c>
      <c r="D11" s="2" t="s">
        <v>23</v>
      </c>
      <c r="E11" s="2">
        <v>1</v>
      </c>
      <c r="F11" s="10" t="str">
        <f t="shared" si="6"/>
        <v>LS-JCR-ROS-VAPOR-1hr</v>
      </c>
      <c r="H11" s="2" t="str">
        <f t="shared" si="4"/>
        <v>LS-JCR-ROS-VAPOR-1hr-d2H</v>
      </c>
      <c r="J11" s="44" t="s">
        <v>3</v>
      </c>
      <c r="K11" s="44" t="s">
        <v>4</v>
      </c>
      <c r="L11" s="44" t="s">
        <v>41</v>
      </c>
      <c r="M11" s="44">
        <v>2</v>
      </c>
      <c r="N11" s="44" t="str">
        <f t="shared" si="0"/>
        <v>CUE-JCR-ROS-72hr-2</v>
      </c>
      <c r="P11" t="str">
        <f t="shared" ref="P11:P27" si="7">_xlfn.CONCAT(N11, "-d18O")</f>
        <v>CUE-JCR-ROS-72hr-2-d18O</v>
      </c>
      <c r="R11" s="2" t="s">
        <v>3</v>
      </c>
      <c r="S11" s="2" t="s">
        <v>4</v>
      </c>
      <c r="T11" s="2" t="s">
        <v>19</v>
      </c>
      <c r="U11" s="2">
        <v>2</v>
      </c>
      <c r="V11" s="2" t="str">
        <f t="shared" si="5"/>
        <v>JCR-ROS-POST-2</v>
      </c>
      <c r="X11" s="9" t="s">
        <v>3</v>
      </c>
      <c r="Y11" s="2" t="s">
        <v>4</v>
      </c>
      <c r="Z11" s="2" t="s">
        <v>35</v>
      </c>
      <c r="AA11" s="2">
        <v>2</v>
      </c>
      <c r="AB11" s="10" t="str">
        <f t="shared" si="1"/>
        <v>JCR-ROS-24hr-2</v>
      </c>
      <c r="AD11" s="9" t="s">
        <v>3</v>
      </c>
      <c r="AE11" s="2" t="s">
        <v>6</v>
      </c>
      <c r="AF11" s="2" t="s">
        <v>26</v>
      </c>
      <c r="AG11" s="2">
        <v>2</v>
      </c>
      <c r="AH11" s="10" t="str">
        <f t="shared" si="2"/>
        <v>JCR-SKY-pre-2</v>
      </c>
      <c r="AJ11" s="46" t="s">
        <v>3</v>
      </c>
      <c r="AK11" s="47" t="s">
        <v>4</v>
      </c>
      <c r="AL11" s="47" t="s">
        <v>30</v>
      </c>
      <c r="AM11" s="48" t="str">
        <f t="shared" si="3"/>
        <v>JCR-ROS-48h</v>
      </c>
    </row>
    <row r="12" spans="1:39" x14ac:dyDescent="0.2">
      <c r="A12" s="39">
        <v>9</v>
      </c>
      <c r="B12" s="9" t="s">
        <v>3</v>
      </c>
      <c r="C12" s="2" t="s">
        <v>4</v>
      </c>
      <c r="D12" s="2" t="s">
        <v>23</v>
      </c>
      <c r="E12" s="2">
        <v>3</v>
      </c>
      <c r="F12" s="10" t="str">
        <f t="shared" ref="F12:F29" si="8">_xlfn.CONCAT("LS","-",B12,"-",C12,"-",D12,"-",E12,"hr")</f>
        <v>LS-JCR-ROS-VAPOR-3hr</v>
      </c>
      <c r="H12" s="2" t="str">
        <f t="shared" si="4"/>
        <v>LS-JCR-ROS-VAPOR-3hr-d2H</v>
      </c>
      <c r="J12" s="44" t="s">
        <v>3</v>
      </c>
      <c r="K12" s="44" t="s">
        <v>4</v>
      </c>
      <c r="L12" s="44" t="s">
        <v>41</v>
      </c>
      <c r="M12" s="44">
        <v>3</v>
      </c>
      <c r="N12" s="44" t="str">
        <f t="shared" si="0"/>
        <v>CUE-JCR-ROS-72hr-3</v>
      </c>
      <c r="P12" t="str">
        <f t="shared" si="7"/>
        <v>CUE-JCR-ROS-72hr-3-d18O</v>
      </c>
      <c r="R12" s="2" t="s">
        <v>3</v>
      </c>
      <c r="S12" s="2" t="s">
        <v>4</v>
      </c>
      <c r="T12" s="2" t="s">
        <v>19</v>
      </c>
      <c r="U12" s="2">
        <v>3</v>
      </c>
      <c r="V12" s="2" t="str">
        <f t="shared" si="5"/>
        <v>JCR-ROS-POST-3</v>
      </c>
      <c r="X12" s="11" t="s">
        <v>3</v>
      </c>
      <c r="Y12" s="12" t="s">
        <v>4</v>
      </c>
      <c r="Z12" s="12" t="s">
        <v>35</v>
      </c>
      <c r="AA12" s="12">
        <v>3</v>
      </c>
      <c r="AB12" s="13" t="str">
        <f t="shared" si="1"/>
        <v>JCR-ROS-24hr-3</v>
      </c>
      <c r="AD12" s="9" t="s">
        <v>3</v>
      </c>
      <c r="AE12" s="2" t="s">
        <v>6</v>
      </c>
      <c r="AF12" s="2" t="s">
        <v>26</v>
      </c>
      <c r="AG12" s="2">
        <v>3</v>
      </c>
      <c r="AH12" s="10" t="str">
        <f t="shared" si="2"/>
        <v>JCR-SKY-pre-3</v>
      </c>
      <c r="AJ12" s="14" t="s">
        <v>8</v>
      </c>
      <c r="AK12" s="15" t="s">
        <v>4</v>
      </c>
      <c r="AL12" s="15" t="s">
        <v>26</v>
      </c>
      <c r="AM12" s="16" t="str">
        <f t="shared" si="3"/>
        <v>PAL-ROS-pre</v>
      </c>
    </row>
    <row r="13" spans="1:39" x14ac:dyDescent="0.2">
      <c r="A13" s="39">
        <v>10</v>
      </c>
      <c r="B13" s="9" t="s">
        <v>3</v>
      </c>
      <c r="C13" s="2" t="s">
        <v>4</v>
      </c>
      <c r="D13" s="2" t="s">
        <v>23</v>
      </c>
      <c r="E13" s="2">
        <v>6</v>
      </c>
      <c r="F13" s="10" t="str">
        <f t="shared" si="8"/>
        <v>LS-JCR-ROS-VAPOR-6hr</v>
      </c>
      <c r="H13" s="2" t="str">
        <f t="shared" si="4"/>
        <v>LS-JCR-ROS-VAPOR-6hr-d2H</v>
      </c>
      <c r="J13" s="44" t="s">
        <v>3</v>
      </c>
      <c r="K13" s="44" t="s">
        <v>6</v>
      </c>
      <c r="L13" s="44" t="s">
        <v>41</v>
      </c>
      <c r="M13" s="44">
        <v>1</v>
      </c>
      <c r="N13" s="44" t="str">
        <f t="shared" si="0"/>
        <v>CUE-JCR-SKY-72hr-1</v>
      </c>
      <c r="P13" t="str">
        <f t="shared" si="7"/>
        <v>CUE-JCR-SKY-72hr-1-d18O</v>
      </c>
      <c r="R13" s="2" t="s">
        <v>3</v>
      </c>
      <c r="S13" s="2" t="s">
        <v>6</v>
      </c>
      <c r="T13" s="2" t="s">
        <v>19</v>
      </c>
      <c r="U13" s="2">
        <v>1</v>
      </c>
      <c r="V13" s="2" t="str">
        <f t="shared" si="5"/>
        <v>JCR-SKY-POST-1</v>
      </c>
      <c r="X13" s="6" t="s">
        <v>3</v>
      </c>
      <c r="Y13" s="7" t="s">
        <v>6</v>
      </c>
      <c r="Z13" s="7" t="s">
        <v>35</v>
      </c>
      <c r="AA13" s="7">
        <v>1</v>
      </c>
      <c r="AB13" s="8" t="str">
        <f t="shared" si="1"/>
        <v>JCR-SKY-24hr-1</v>
      </c>
      <c r="AD13" s="9" t="s">
        <v>3</v>
      </c>
      <c r="AE13" s="2" t="s">
        <v>6</v>
      </c>
      <c r="AF13" s="2" t="s">
        <v>26</v>
      </c>
      <c r="AG13" s="2">
        <v>8</v>
      </c>
      <c r="AH13" s="10" t="str">
        <f t="shared" si="2"/>
        <v>JCR-SKY-pre-8</v>
      </c>
      <c r="AJ13" s="17" t="s">
        <v>8</v>
      </c>
      <c r="AK13" s="3" t="s">
        <v>6</v>
      </c>
      <c r="AL13" s="3" t="s">
        <v>26</v>
      </c>
      <c r="AM13" s="18" t="str">
        <f t="shared" ref="AM13:AM20" si="9">_xlfn.CONCAT(AJ13,"-",AK13,"-",AL13)</f>
        <v>PAL-SKY-pre</v>
      </c>
    </row>
    <row r="14" spans="1:39" x14ac:dyDescent="0.2">
      <c r="A14" s="39">
        <v>11</v>
      </c>
      <c r="B14" s="9" t="s">
        <v>3</v>
      </c>
      <c r="C14" s="2" t="s">
        <v>4</v>
      </c>
      <c r="D14" s="2" t="s">
        <v>23</v>
      </c>
      <c r="E14" s="2">
        <v>24</v>
      </c>
      <c r="F14" s="10" t="str">
        <f t="shared" si="8"/>
        <v>LS-JCR-ROS-VAPOR-24hr</v>
      </c>
      <c r="H14" s="2" t="str">
        <f t="shared" si="4"/>
        <v>LS-JCR-ROS-VAPOR-24hr-d2H</v>
      </c>
      <c r="J14" s="44" t="s">
        <v>3</v>
      </c>
      <c r="K14" s="44" t="s">
        <v>6</v>
      </c>
      <c r="L14" s="44" t="s">
        <v>41</v>
      </c>
      <c r="M14" s="44">
        <v>2</v>
      </c>
      <c r="N14" s="44" t="str">
        <f t="shared" si="0"/>
        <v>CUE-JCR-SKY-72hr-2</v>
      </c>
      <c r="P14" t="str">
        <f t="shared" si="7"/>
        <v>CUE-JCR-SKY-72hr-2-d18O</v>
      </c>
      <c r="R14" s="2" t="s">
        <v>3</v>
      </c>
      <c r="S14" s="2" t="s">
        <v>6</v>
      </c>
      <c r="T14" s="2" t="s">
        <v>19</v>
      </c>
      <c r="U14" s="2">
        <v>2</v>
      </c>
      <c r="V14" s="2" t="str">
        <f t="shared" si="5"/>
        <v>JCR-SKY-POST-2</v>
      </c>
      <c r="X14" s="9" t="s">
        <v>3</v>
      </c>
      <c r="Y14" s="2" t="s">
        <v>6</v>
      </c>
      <c r="Z14" s="2" t="s">
        <v>35</v>
      </c>
      <c r="AA14" s="2">
        <v>2</v>
      </c>
      <c r="AB14" s="10" t="str">
        <f t="shared" si="1"/>
        <v>JCR-SKY-24hr-2</v>
      </c>
      <c r="AD14" s="9" t="s">
        <v>3</v>
      </c>
      <c r="AE14" s="2" t="s">
        <v>6</v>
      </c>
      <c r="AF14" s="2" t="s">
        <v>26</v>
      </c>
      <c r="AG14" s="2">
        <v>12</v>
      </c>
      <c r="AH14" s="10" t="str">
        <f t="shared" si="2"/>
        <v>JCR-SKY-pre-12</v>
      </c>
      <c r="AJ14" s="17" t="s">
        <v>8</v>
      </c>
      <c r="AK14" s="3" t="s">
        <v>4</v>
      </c>
      <c r="AL14" s="3" t="s">
        <v>27</v>
      </c>
      <c r="AM14" s="18" t="str">
        <f t="shared" si="9"/>
        <v>PAL-ROS-1h</v>
      </c>
    </row>
    <row r="15" spans="1:39" x14ac:dyDescent="0.2">
      <c r="A15" s="39">
        <v>12</v>
      </c>
      <c r="B15" s="9" t="s">
        <v>3</v>
      </c>
      <c r="C15" s="2" t="s">
        <v>4</v>
      </c>
      <c r="D15" s="2" t="s">
        <v>23</v>
      </c>
      <c r="E15" s="2">
        <v>48</v>
      </c>
      <c r="F15" s="10" t="str">
        <f t="shared" si="8"/>
        <v>LS-JCR-ROS-VAPOR-48hr</v>
      </c>
      <c r="H15" s="2" t="str">
        <f t="shared" si="4"/>
        <v>LS-JCR-ROS-VAPOR-48hr-d2H</v>
      </c>
      <c r="J15" s="44" t="s">
        <v>3</v>
      </c>
      <c r="K15" s="44" t="s">
        <v>6</v>
      </c>
      <c r="L15" s="44" t="s">
        <v>41</v>
      </c>
      <c r="M15" s="44">
        <v>3</v>
      </c>
      <c r="N15" s="44" t="str">
        <f t="shared" si="0"/>
        <v>CUE-JCR-SKY-72hr-3</v>
      </c>
      <c r="P15" t="str">
        <f t="shared" si="7"/>
        <v>CUE-JCR-SKY-72hr-3-d18O</v>
      </c>
      <c r="R15" s="2" t="s">
        <v>3</v>
      </c>
      <c r="S15" s="2" t="s">
        <v>6</v>
      </c>
      <c r="T15" s="2" t="s">
        <v>19</v>
      </c>
      <c r="U15" s="2">
        <v>3</v>
      </c>
      <c r="V15" s="2" t="str">
        <f t="shared" si="5"/>
        <v>JCR-SKY-POST-3</v>
      </c>
      <c r="X15" s="11" t="s">
        <v>3</v>
      </c>
      <c r="Y15" s="12" t="s">
        <v>6</v>
      </c>
      <c r="Z15" s="12" t="s">
        <v>35</v>
      </c>
      <c r="AA15" s="12">
        <v>3</v>
      </c>
      <c r="AB15" s="13" t="str">
        <f t="shared" si="1"/>
        <v>JCR-SKY-24hr-3</v>
      </c>
      <c r="AD15" s="11" t="s">
        <v>3</v>
      </c>
      <c r="AE15" s="12" t="s">
        <v>6</v>
      </c>
      <c r="AF15" s="12" t="s">
        <v>26</v>
      </c>
      <c r="AG15" s="12">
        <v>15</v>
      </c>
      <c r="AH15" s="13" t="str">
        <f t="shared" si="2"/>
        <v>JCR-SKY-pre-15</v>
      </c>
      <c r="AJ15" s="17" t="s">
        <v>8</v>
      </c>
      <c r="AK15" s="3" t="s">
        <v>6</v>
      </c>
      <c r="AL15" s="3" t="s">
        <v>27</v>
      </c>
      <c r="AM15" s="18" t="str">
        <f t="shared" si="9"/>
        <v>PAL-SKY-1h</v>
      </c>
    </row>
    <row r="16" spans="1:39" x14ac:dyDescent="0.2">
      <c r="A16" s="39">
        <v>13</v>
      </c>
      <c r="B16" s="11" t="s">
        <v>3</v>
      </c>
      <c r="C16" s="12" t="s">
        <v>4</v>
      </c>
      <c r="D16" s="12" t="s">
        <v>23</v>
      </c>
      <c r="E16" s="12">
        <v>72</v>
      </c>
      <c r="F16" s="13" t="str">
        <f t="shared" si="8"/>
        <v>LS-JCR-ROS-VAPOR-72hr</v>
      </c>
      <c r="H16" s="2" t="str">
        <f t="shared" si="4"/>
        <v>LS-JCR-ROS-VAPOR-72hr-d2H</v>
      </c>
      <c r="J16" s="4" t="s">
        <v>7</v>
      </c>
      <c r="K16" s="4" t="s">
        <v>4</v>
      </c>
      <c r="L16" s="4" t="s">
        <v>40</v>
      </c>
      <c r="M16" s="4">
        <v>1</v>
      </c>
      <c r="N16" s="4" t="str">
        <f t="shared" si="0"/>
        <v>CUE-LOM-ROS-0hr-1</v>
      </c>
      <c r="P16" t="s">
        <v>38</v>
      </c>
      <c r="R16" s="4" t="s">
        <v>7</v>
      </c>
      <c r="S16" s="4" t="s">
        <v>4</v>
      </c>
      <c r="T16" s="4" t="s">
        <v>18</v>
      </c>
      <c r="U16" s="4">
        <v>1</v>
      </c>
      <c r="V16" s="4" t="str">
        <f t="shared" si="5"/>
        <v>LOM-ROS-PRE-1</v>
      </c>
      <c r="X16" s="6" t="s">
        <v>3</v>
      </c>
      <c r="Y16" s="7" t="s">
        <v>4</v>
      </c>
      <c r="Z16" s="7" t="s">
        <v>41</v>
      </c>
      <c r="AA16" s="7">
        <v>1</v>
      </c>
      <c r="AB16" s="8" t="str">
        <f t="shared" si="1"/>
        <v>JCR-ROS-72hr-1</v>
      </c>
      <c r="AD16" s="6" t="s">
        <v>3</v>
      </c>
      <c r="AE16" s="7" t="s">
        <v>4</v>
      </c>
      <c r="AF16" s="7" t="s">
        <v>47</v>
      </c>
      <c r="AG16" s="7">
        <v>1</v>
      </c>
      <c r="AH16" s="8" t="str">
        <f t="shared" si="2"/>
        <v>JCR-ROS-0.5hr-1</v>
      </c>
      <c r="AJ16" s="17"/>
      <c r="AK16" s="3"/>
      <c r="AL16" s="3"/>
      <c r="AM16" s="18"/>
    </row>
    <row r="17" spans="1:39" x14ac:dyDescent="0.2">
      <c r="A17" s="39">
        <v>14</v>
      </c>
      <c r="B17" s="6" t="s">
        <v>3</v>
      </c>
      <c r="C17" s="7" t="s">
        <v>6</v>
      </c>
      <c r="D17" s="7" t="s">
        <v>5</v>
      </c>
      <c r="E17" s="7">
        <v>0</v>
      </c>
      <c r="F17" s="8" t="str">
        <f t="shared" si="8"/>
        <v>LS-JCR-SKY-WET-0hr</v>
      </c>
      <c r="H17" s="2" t="s">
        <v>38</v>
      </c>
      <c r="J17" s="4" t="s">
        <v>7</v>
      </c>
      <c r="K17" s="4" t="s">
        <v>4</v>
      </c>
      <c r="L17" s="4" t="s">
        <v>40</v>
      </c>
      <c r="M17" s="4">
        <v>2</v>
      </c>
      <c r="N17" s="4" t="str">
        <f t="shared" ref="N17:N27" si="10">_xlfn.CONCAT("CUE-",J17,"-",K17,"-",L17,"-",M17)</f>
        <v>CUE-LOM-ROS-0hr-2</v>
      </c>
      <c r="P17" t="s">
        <v>38</v>
      </c>
      <c r="R17" s="4" t="s">
        <v>7</v>
      </c>
      <c r="S17" s="4" t="s">
        <v>4</v>
      </c>
      <c r="T17" s="4" t="s">
        <v>18</v>
      </c>
      <c r="U17" s="4">
        <v>2</v>
      </c>
      <c r="V17" s="4" t="str">
        <f t="shared" si="5"/>
        <v>LOM-ROS-PRE-2</v>
      </c>
      <c r="X17" s="9" t="s">
        <v>3</v>
      </c>
      <c r="Y17" s="2" t="s">
        <v>4</v>
      </c>
      <c r="Z17" s="2" t="s">
        <v>41</v>
      </c>
      <c r="AA17" s="2">
        <v>2</v>
      </c>
      <c r="AB17" s="10" t="str">
        <f t="shared" si="1"/>
        <v>JCR-ROS-72hr-2</v>
      </c>
      <c r="AD17" s="9" t="s">
        <v>3</v>
      </c>
      <c r="AE17" s="2" t="s">
        <v>4</v>
      </c>
      <c r="AF17" s="2" t="s">
        <v>47</v>
      </c>
      <c r="AG17" s="2">
        <v>2</v>
      </c>
      <c r="AH17" s="10" t="str">
        <f t="shared" si="2"/>
        <v>JCR-ROS-0.5hr-2</v>
      </c>
      <c r="AJ17" s="17" t="s">
        <v>8</v>
      </c>
      <c r="AK17" s="3" t="s">
        <v>4</v>
      </c>
      <c r="AL17" s="3" t="s">
        <v>28</v>
      </c>
      <c r="AM17" s="18" t="str">
        <f t="shared" si="9"/>
        <v>PAL-ROS-6h</v>
      </c>
    </row>
    <row r="18" spans="1:39" x14ac:dyDescent="0.2">
      <c r="A18" s="39">
        <v>15</v>
      </c>
      <c r="B18" s="9" t="s">
        <v>3</v>
      </c>
      <c r="C18" s="2" t="s">
        <v>6</v>
      </c>
      <c r="D18" s="2" t="s">
        <v>5</v>
      </c>
      <c r="E18" s="2">
        <v>1</v>
      </c>
      <c r="F18" s="10" t="str">
        <f t="shared" si="8"/>
        <v>LS-JCR-SKY-WET-1hr</v>
      </c>
      <c r="H18" s="2" t="str">
        <f t="shared" si="4"/>
        <v>LS-JCR-SKY-WET-1hr-d2H</v>
      </c>
      <c r="J18" s="4" t="s">
        <v>7</v>
      </c>
      <c r="K18" s="4" t="s">
        <v>4</v>
      </c>
      <c r="L18" s="4" t="s">
        <v>40</v>
      </c>
      <c r="M18" s="4">
        <v>3</v>
      </c>
      <c r="N18" s="4" t="str">
        <f t="shared" si="10"/>
        <v>CUE-LOM-ROS-0hr-3</v>
      </c>
      <c r="P18" t="s">
        <v>38</v>
      </c>
      <c r="R18" s="4" t="s">
        <v>7</v>
      </c>
      <c r="S18" s="4" t="s">
        <v>4</v>
      </c>
      <c r="T18" s="4" t="s">
        <v>18</v>
      </c>
      <c r="U18" s="4">
        <v>3</v>
      </c>
      <c r="V18" s="4" t="str">
        <f t="shared" si="5"/>
        <v>LOM-ROS-PRE-3</v>
      </c>
      <c r="X18" s="11" t="s">
        <v>3</v>
      </c>
      <c r="Y18" s="12" t="s">
        <v>4</v>
      </c>
      <c r="Z18" s="12" t="s">
        <v>41</v>
      </c>
      <c r="AA18" s="12">
        <v>3</v>
      </c>
      <c r="AB18" s="13" t="str">
        <f t="shared" si="1"/>
        <v>JCR-ROS-72hr-3</v>
      </c>
      <c r="AD18" s="9" t="s">
        <v>3</v>
      </c>
      <c r="AE18" s="2" t="s">
        <v>4</v>
      </c>
      <c r="AF18" s="2" t="s">
        <v>47</v>
      </c>
      <c r="AG18" s="2">
        <v>3</v>
      </c>
      <c r="AH18" s="10" t="str">
        <f t="shared" si="2"/>
        <v>JCR-ROS-0.5hr-3</v>
      </c>
      <c r="AJ18" s="17" t="s">
        <v>8</v>
      </c>
      <c r="AK18" s="3" t="s">
        <v>6</v>
      </c>
      <c r="AL18" s="3" t="s">
        <v>28</v>
      </c>
      <c r="AM18" s="18" t="str">
        <f t="shared" si="9"/>
        <v>PAL-SKY-6h</v>
      </c>
    </row>
    <row r="19" spans="1:39" x14ac:dyDescent="0.2">
      <c r="A19" s="39">
        <v>16</v>
      </c>
      <c r="B19" s="9" t="s">
        <v>3</v>
      </c>
      <c r="C19" s="2" t="s">
        <v>6</v>
      </c>
      <c r="D19" s="2" t="s">
        <v>5</v>
      </c>
      <c r="E19" s="2">
        <v>3</v>
      </c>
      <c r="F19" s="10" t="str">
        <f t="shared" si="8"/>
        <v>LS-JCR-SKY-WET-3hr</v>
      </c>
      <c r="H19" s="2" t="str">
        <f t="shared" si="4"/>
        <v>LS-JCR-SKY-WET-3hr-d2H</v>
      </c>
      <c r="J19" s="4" t="s">
        <v>7</v>
      </c>
      <c r="K19" s="4" t="s">
        <v>6</v>
      </c>
      <c r="L19" s="4" t="s">
        <v>40</v>
      </c>
      <c r="M19" s="4">
        <v>1</v>
      </c>
      <c r="N19" s="4" t="str">
        <f t="shared" si="10"/>
        <v>CUE-LOM-SKY-0hr-1</v>
      </c>
      <c r="P19" t="s">
        <v>38</v>
      </c>
      <c r="R19" s="4" t="s">
        <v>7</v>
      </c>
      <c r="S19" s="4" t="s">
        <v>6</v>
      </c>
      <c r="T19" s="4" t="s">
        <v>18</v>
      </c>
      <c r="U19" s="4">
        <v>1</v>
      </c>
      <c r="V19" s="4" t="str">
        <f t="shared" si="5"/>
        <v>LOM-SKY-PRE-1</v>
      </c>
      <c r="X19" s="6" t="s">
        <v>3</v>
      </c>
      <c r="Y19" s="7" t="s">
        <v>6</v>
      </c>
      <c r="Z19" s="7" t="s">
        <v>41</v>
      </c>
      <c r="AA19" s="7">
        <v>1</v>
      </c>
      <c r="AB19" s="8" t="str">
        <f t="shared" si="1"/>
        <v>JCR-SKY-72hr-1</v>
      </c>
      <c r="AD19" s="9" t="s">
        <v>3</v>
      </c>
      <c r="AE19" s="2" t="s">
        <v>4</v>
      </c>
      <c r="AF19" s="2" t="s">
        <v>47</v>
      </c>
      <c r="AG19" s="2">
        <v>8</v>
      </c>
      <c r="AH19" s="10" t="str">
        <f t="shared" si="2"/>
        <v>JCR-ROS-0.5hr-8</v>
      </c>
      <c r="AJ19" s="17" t="s">
        <v>8</v>
      </c>
      <c r="AK19" s="3" t="s">
        <v>4</v>
      </c>
      <c r="AL19" s="3" t="s">
        <v>29</v>
      </c>
      <c r="AM19" s="18" t="str">
        <f t="shared" si="9"/>
        <v>PAL-ROS-24h</v>
      </c>
    </row>
    <row r="20" spans="1:39" x14ac:dyDescent="0.2">
      <c r="A20" s="39">
        <v>17</v>
      </c>
      <c r="B20" s="9" t="s">
        <v>3</v>
      </c>
      <c r="C20" s="2" t="s">
        <v>6</v>
      </c>
      <c r="D20" s="2" t="s">
        <v>5</v>
      </c>
      <c r="E20" s="2">
        <v>6</v>
      </c>
      <c r="F20" s="10" t="str">
        <f t="shared" si="8"/>
        <v>LS-JCR-SKY-WET-6hr</v>
      </c>
      <c r="H20" s="2" t="str">
        <f t="shared" si="4"/>
        <v>LS-JCR-SKY-WET-6hr-d2H</v>
      </c>
      <c r="J20" s="4" t="s">
        <v>7</v>
      </c>
      <c r="K20" s="4" t="s">
        <v>6</v>
      </c>
      <c r="L20" s="4" t="s">
        <v>40</v>
      </c>
      <c r="M20" s="4">
        <v>2</v>
      </c>
      <c r="N20" s="4" t="str">
        <f t="shared" si="10"/>
        <v>CUE-LOM-SKY-0hr-2</v>
      </c>
      <c r="P20" t="s">
        <v>38</v>
      </c>
      <c r="R20" s="4" t="s">
        <v>7</v>
      </c>
      <c r="S20" s="4" t="s">
        <v>6</v>
      </c>
      <c r="T20" s="4" t="s">
        <v>18</v>
      </c>
      <c r="U20" s="4">
        <v>2</v>
      </c>
      <c r="V20" s="4" t="str">
        <f t="shared" si="5"/>
        <v>LOM-SKY-PRE-2</v>
      </c>
      <c r="X20" s="9" t="s">
        <v>3</v>
      </c>
      <c r="Y20" s="2" t="s">
        <v>6</v>
      </c>
      <c r="Z20" s="2" t="s">
        <v>41</v>
      </c>
      <c r="AA20" s="2">
        <v>2</v>
      </c>
      <c r="AB20" s="10" t="str">
        <f t="shared" si="1"/>
        <v>JCR-SKY-72hr-2</v>
      </c>
      <c r="AD20" s="9" t="s">
        <v>3</v>
      </c>
      <c r="AE20" s="2" t="s">
        <v>4</v>
      </c>
      <c r="AF20" s="2" t="s">
        <v>47</v>
      </c>
      <c r="AG20" s="2">
        <v>12</v>
      </c>
      <c r="AH20" s="10" t="str">
        <f t="shared" si="2"/>
        <v>JCR-ROS-0.5hr-12</v>
      </c>
      <c r="AJ20" s="19" t="s">
        <v>8</v>
      </c>
      <c r="AK20" s="20" t="s">
        <v>4</v>
      </c>
      <c r="AL20" s="20" t="s">
        <v>30</v>
      </c>
      <c r="AM20" s="21" t="str">
        <f t="shared" si="9"/>
        <v>PAL-ROS-48h</v>
      </c>
    </row>
    <row r="21" spans="1:39" x14ac:dyDescent="0.2">
      <c r="A21" s="39">
        <v>18</v>
      </c>
      <c r="B21" s="9" t="s">
        <v>3</v>
      </c>
      <c r="C21" s="2" t="s">
        <v>6</v>
      </c>
      <c r="D21" s="2" t="s">
        <v>5</v>
      </c>
      <c r="E21" s="2">
        <v>24</v>
      </c>
      <c r="F21" s="10" t="str">
        <f t="shared" si="8"/>
        <v>LS-JCR-SKY-WET-24hr</v>
      </c>
      <c r="H21" s="2" t="str">
        <f t="shared" si="4"/>
        <v>LS-JCR-SKY-WET-24hr-d2H</v>
      </c>
      <c r="J21" s="4" t="s">
        <v>7</v>
      </c>
      <c r="K21" s="4" t="s">
        <v>6</v>
      </c>
      <c r="L21" s="4" t="s">
        <v>40</v>
      </c>
      <c r="M21" s="4">
        <v>3</v>
      </c>
      <c r="N21" s="4" t="str">
        <f t="shared" si="10"/>
        <v>CUE-LOM-SKY-0hr-3</v>
      </c>
      <c r="P21" t="s">
        <v>38</v>
      </c>
      <c r="R21" s="4" t="s">
        <v>7</v>
      </c>
      <c r="S21" s="4" t="s">
        <v>6</v>
      </c>
      <c r="T21" s="4" t="s">
        <v>18</v>
      </c>
      <c r="U21" s="4">
        <v>3</v>
      </c>
      <c r="V21" s="4" t="str">
        <f t="shared" si="5"/>
        <v>LOM-SKY-PRE-3</v>
      </c>
      <c r="X21" s="11" t="s">
        <v>3</v>
      </c>
      <c r="Y21" s="12" t="s">
        <v>6</v>
      </c>
      <c r="Z21" s="12" t="s">
        <v>41</v>
      </c>
      <c r="AA21" s="12">
        <v>3</v>
      </c>
      <c r="AB21" s="13" t="str">
        <f t="shared" si="1"/>
        <v>JCR-SKY-72hr-3</v>
      </c>
      <c r="AD21" s="11" t="s">
        <v>3</v>
      </c>
      <c r="AE21" s="12" t="s">
        <v>4</v>
      </c>
      <c r="AF21" s="12" t="s">
        <v>47</v>
      </c>
      <c r="AG21" s="12">
        <v>15</v>
      </c>
      <c r="AH21" s="13" t="str">
        <f t="shared" si="2"/>
        <v>JCR-ROS-0.5hr-15</v>
      </c>
      <c r="AJ21" s="22" t="s">
        <v>7</v>
      </c>
      <c r="AK21" s="23" t="s">
        <v>4</v>
      </c>
      <c r="AL21" s="23" t="s">
        <v>26</v>
      </c>
      <c r="AM21" s="24" t="str">
        <f>_xlfn.CONCAT(AJ21,"-",AK21,"-",AL21)</f>
        <v>LOM-ROS-pre</v>
      </c>
    </row>
    <row r="22" spans="1:39" x14ac:dyDescent="0.2">
      <c r="A22" s="39">
        <v>19</v>
      </c>
      <c r="B22" s="9" t="s">
        <v>3</v>
      </c>
      <c r="C22" s="2" t="s">
        <v>6</v>
      </c>
      <c r="D22" s="2" t="s">
        <v>5</v>
      </c>
      <c r="E22" s="2">
        <v>48</v>
      </c>
      <c r="F22" s="10" t="str">
        <f t="shared" si="8"/>
        <v>LS-JCR-SKY-WET-48hr</v>
      </c>
      <c r="H22" s="2" t="str">
        <f t="shared" si="4"/>
        <v>LS-JCR-SKY-WET-48hr-d2H</v>
      </c>
      <c r="J22" s="4" t="s">
        <v>7</v>
      </c>
      <c r="K22" s="4" t="s">
        <v>4</v>
      </c>
      <c r="L22" s="4" t="s">
        <v>41</v>
      </c>
      <c r="M22" s="4">
        <v>1</v>
      </c>
      <c r="N22" s="4" t="str">
        <f t="shared" si="10"/>
        <v>CUE-LOM-ROS-72hr-1</v>
      </c>
      <c r="P22" t="str">
        <f t="shared" si="7"/>
        <v>CUE-LOM-ROS-72hr-1-d18O</v>
      </c>
      <c r="R22" s="4" t="s">
        <v>7</v>
      </c>
      <c r="S22" s="4" t="s">
        <v>4</v>
      </c>
      <c r="T22" s="4" t="s">
        <v>19</v>
      </c>
      <c r="U22" s="4">
        <v>1</v>
      </c>
      <c r="V22" s="4" t="str">
        <f t="shared" si="5"/>
        <v>LOM-ROS-POST-1</v>
      </c>
      <c r="X22" s="22" t="s">
        <v>7</v>
      </c>
      <c r="Y22" s="23" t="s">
        <v>4</v>
      </c>
      <c r="Z22" s="23" t="s">
        <v>18</v>
      </c>
      <c r="AA22" s="23">
        <v>1</v>
      </c>
      <c r="AB22" s="24" t="str">
        <f t="shared" si="1"/>
        <v>LOM-ROS-PRE-1</v>
      </c>
      <c r="AD22" s="6" t="s">
        <v>3</v>
      </c>
      <c r="AE22" s="7" t="s">
        <v>6</v>
      </c>
      <c r="AF22" s="7" t="s">
        <v>47</v>
      </c>
      <c r="AG22" s="7">
        <v>1</v>
      </c>
      <c r="AH22" s="8" t="str">
        <f t="shared" si="2"/>
        <v>JCR-SKY-0.5hr-1</v>
      </c>
      <c r="AJ22" s="25" t="s">
        <v>7</v>
      </c>
      <c r="AK22" s="4" t="s">
        <v>6</v>
      </c>
      <c r="AL22" s="4" t="s">
        <v>26</v>
      </c>
      <c r="AM22" s="26" t="str">
        <f t="shared" ref="AM22:AM28" si="11">_xlfn.CONCAT(AJ22,"-",AK22,"-",AL22)</f>
        <v>LOM-SKY-pre</v>
      </c>
    </row>
    <row r="23" spans="1:39" x14ac:dyDescent="0.2">
      <c r="A23" s="39">
        <v>20</v>
      </c>
      <c r="B23" s="11" t="s">
        <v>3</v>
      </c>
      <c r="C23" s="12" t="s">
        <v>6</v>
      </c>
      <c r="D23" s="12" t="s">
        <v>5</v>
      </c>
      <c r="E23" s="12">
        <v>72</v>
      </c>
      <c r="F23" s="13" t="str">
        <f t="shared" si="8"/>
        <v>LS-JCR-SKY-WET-72hr</v>
      </c>
      <c r="H23" s="2" t="str">
        <f t="shared" si="4"/>
        <v>LS-JCR-SKY-WET-72hr-d2H</v>
      </c>
      <c r="J23" s="4" t="s">
        <v>7</v>
      </c>
      <c r="K23" s="4" t="s">
        <v>4</v>
      </c>
      <c r="L23" s="4" t="s">
        <v>41</v>
      </c>
      <c r="M23" s="4">
        <v>2</v>
      </c>
      <c r="N23" s="4" t="str">
        <f t="shared" si="10"/>
        <v>CUE-LOM-ROS-72hr-2</v>
      </c>
      <c r="P23" t="str">
        <f t="shared" si="7"/>
        <v>CUE-LOM-ROS-72hr-2-d18O</v>
      </c>
      <c r="R23" s="4" t="s">
        <v>7</v>
      </c>
      <c r="S23" s="4" t="s">
        <v>4</v>
      </c>
      <c r="T23" s="4" t="s">
        <v>19</v>
      </c>
      <c r="U23" s="4">
        <v>2</v>
      </c>
      <c r="V23" s="4" t="str">
        <f t="shared" si="5"/>
        <v>LOM-ROS-POST-2</v>
      </c>
      <c r="X23" s="25" t="s">
        <v>7</v>
      </c>
      <c r="Y23" s="4" t="s">
        <v>4</v>
      </c>
      <c r="Z23" s="4" t="s">
        <v>18</v>
      </c>
      <c r="AA23" s="4">
        <v>2</v>
      </c>
      <c r="AB23" s="26" t="str">
        <f t="shared" si="1"/>
        <v>LOM-ROS-PRE-2</v>
      </c>
      <c r="AD23" s="9" t="s">
        <v>3</v>
      </c>
      <c r="AE23" s="2" t="s">
        <v>6</v>
      </c>
      <c r="AF23" s="2" t="s">
        <v>47</v>
      </c>
      <c r="AG23" s="2">
        <v>2</v>
      </c>
      <c r="AH23" s="10" t="str">
        <f t="shared" ref="AH23:AH27" si="12">_xlfn.CONCAT(AD23,"-",AE23,"-",AF23,"-",AG23)</f>
        <v>JCR-SKY-0.5hr-2</v>
      </c>
      <c r="AJ23" s="25" t="s">
        <v>7</v>
      </c>
      <c r="AK23" s="4" t="s">
        <v>4</v>
      </c>
      <c r="AL23" s="4" t="s">
        <v>27</v>
      </c>
      <c r="AM23" s="26" t="str">
        <f t="shared" si="11"/>
        <v>LOM-ROS-1h</v>
      </c>
    </row>
    <row r="24" spans="1:39" x14ac:dyDescent="0.2">
      <c r="A24" s="39">
        <v>21</v>
      </c>
      <c r="B24" s="9" t="s">
        <v>3</v>
      </c>
      <c r="C24" s="2" t="s">
        <v>6</v>
      </c>
      <c r="D24" s="2" t="s">
        <v>23</v>
      </c>
      <c r="E24" s="2">
        <v>1</v>
      </c>
      <c r="F24" s="10" t="str">
        <f t="shared" si="8"/>
        <v>LS-JCR-SKY-VAPOR-1hr</v>
      </c>
      <c r="H24" s="2" t="str">
        <f t="shared" si="4"/>
        <v>LS-JCR-SKY-VAPOR-1hr-d2H</v>
      </c>
      <c r="J24" s="4" t="s">
        <v>7</v>
      </c>
      <c r="K24" s="4" t="s">
        <v>4</v>
      </c>
      <c r="L24" s="4" t="s">
        <v>41</v>
      </c>
      <c r="M24" s="4">
        <v>3</v>
      </c>
      <c r="N24" s="4" t="str">
        <f t="shared" si="10"/>
        <v>CUE-LOM-ROS-72hr-3</v>
      </c>
      <c r="P24" t="str">
        <f t="shared" si="7"/>
        <v>CUE-LOM-ROS-72hr-3-d18O</v>
      </c>
      <c r="R24" s="4" t="s">
        <v>7</v>
      </c>
      <c r="S24" s="4" t="s">
        <v>4</v>
      </c>
      <c r="T24" s="4" t="s">
        <v>19</v>
      </c>
      <c r="U24" s="4">
        <v>3</v>
      </c>
      <c r="V24" s="4" t="str">
        <f t="shared" si="5"/>
        <v>LOM-ROS-POST-3</v>
      </c>
      <c r="X24" s="30" t="s">
        <v>7</v>
      </c>
      <c r="Y24" s="31" t="s">
        <v>4</v>
      </c>
      <c r="Z24" s="31" t="s">
        <v>18</v>
      </c>
      <c r="AA24" s="31">
        <v>3</v>
      </c>
      <c r="AB24" s="32" t="str">
        <f t="shared" si="1"/>
        <v>LOM-ROS-PRE-3</v>
      </c>
      <c r="AD24" s="9" t="s">
        <v>3</v>
      </c>
      <c r="AE24" s="2" t="s">
        <v>6</v>
      </c>
      <c r="AF24" s="2" t="s">
        <v>47</v>
      </c>
      <c r="AG24" s="2">
        <v>3</v>
      </c>
      <c r="AH24" s="10" t="str">
        <f t="shared" si="12"/>
        <v>JCR-SKY-0.5hr-3</v>
      </c>
      <c r="AJ24" s="25" t="s">
        <v>7</v>
      </c>
      <c r="AK24" s="4" t="s">
        <v>6</v>
      </c>
      <c r="AL24" s="4" t="s">
        <v>27</v>
      </c>
      <c r="AM24" s="26" t="str">
        <f t="shared" si="11"/>
        <v>LOM-SKY-1h</v>
      </c>
    </row>
    <row r="25" spans="1:39" x14ac:dyDescent="0.2">
      <c r="A25" s="39">
        <v>22</v>
      </c>
      <c r="B25" s="9" t="s">
        <v>3</v>
      </c>
      <c r="C25" s="2" t="s">
        <v>6</v>
      </c>
      <c r="D25" s="2" t="s">
        <v>23</v>
      </c>
      <c r="E25" s="2">
        <v>3</v>
      </c>
      <c r="F25" s="10" t="str">
        <f t="shared" si="8"/>
        <v>LS-JCR-SKY-VAPOR-3hr</v>
      </c>
      <c r="H25" s="2" t="str">
        <f t="shared" si="4"/>
        <v>LS-JCR-SKY-VAPOR-3hr-d2H</v>
      </c>
      <c r="J25" s="4" t="s">
        <v>7</v>
      </c>
      <c r="K25" s="4" t="s">
        <v>6</v>
      </c>
      <c r="L25" s="4" t="s">
        <v>41</v>
      </c>
      <c r="M25" s="4">
        <v>1</v>
      </c>
      <c r="N25" s="4" t="str">
        <f t="shared" si="10"/>
        <v>CUE-LOM-SKY-72hr-1</v>
      </c>
      <c r="P25" t="str">
        <f t="shared" si="7"/>
        <v>CUE-LOM-SKY-72hr-1-d18O</v>
      </c>
      <c r="R25" s="4" t="s">
        <v>7</v>
      </c>
      <c r="S25" s="4" t="s">
        <v>6</v>
      </c>
      <c r="T25" s="4" t="s">
        <v>19</v>
      </c>
      <c r="U25" s="4">
        <v>1</v>
      </c>
      <c r="V25" s="4" t="str">
        <f t="shared" si="5"/>
        <v>LOM-SKY-POST-1</v>
      </c>
      <c r="X25" s="33" t="s">
        <v>7</v>
      </c>
      <c r="Y25" s="34" t="s">
        <v>6</v>
      </c>
      <c r="Z25" s="34" t="s">
        <v>18</v>
      </c>
      <c r="AA25" s="34">
        <v>1</v>
      </c>
      <c r="AB25" s="35" t="str">
        <f t="shared" si="1"/>
        <v>LOM-SKY-PRE-1</v>
      </c>
      <c r="AD25" s="9" t="s">
        <v>3</v>
      </c>
      <c r="AE25" s="2" t="s">
        <v>6</v>
      </c>
      <c r="AF25" s="2" t="s">
        <v>47</v>
      </c>
      <c r="AG25" s="2">
        <v>8</v>
      </c>
      <c r="AH25" s="10" t="str">
        <f t="shared" si="12"/>
        <v>JCR-SKY-0.5hr-8</v>
      </c>
      <c r="AJ25" s="25" t="s">
        <v>7</v>
      </c>
      <c r="AK25" s="4" t="s">
        <v>4</v>
      </c>
      <c r="AL25" s="4" t="s">
        <v>28</v>
      </c>
      <c r="AM25" s="26" t="str">
        <f t="shared" si="11"/>
        <v>LOM-ROS-6h</v>
      </c>
    </row>
    <row r="26" spans="1:39" x14ac:dyDescent="0.2">
      <c r="A26" s="39">
        <v>23</v>
      </c>
      <c r="B26" s="9" t="s">
        <v>3</v>
      </c>
      <c r="C26" s="2" t="s">
        <v>6</v>
      </c>
      <c r="D26" s="2" t="s">
        <v>23</v>
      </c>
      <c r="E26" s="2">
        <v>6</v>
      </c>
      <c r="F26" s="10" t="str">
        <f t="shared" si="8"/>
        <v>LS-JCR-SKY-VAPOR-6hr</v>
      </c>
      <c r="H26" s="2" t="str">
        <f t="shared" si="4"/>
        <v>LS-JCR-SKY-VAPOR-6hr-d2H</v>
      </c>
      <c r="J26" s="4" t="s">
        <v>7</v>
      </c>
      <c r="K26" s="4" t="s">
        <v>6</v>
      </c>
      <c r="L26" s="4" t="s">
        <v>41</v>
      </c>
      <c r="M26" s="4">
        <v>2</v>
      </c>
      <c r="N26" s="4" t="str">
        <f t="shared" si="10"/>
        <v>CUE-LOM-SKY-72hr-2</v>
      </c>
      <c r="P26" t="str">
        <f t="shared" si="7"/>
        <v>CUE-LOM-SKY-72hr-2-d18O</v>
      </c>
      <c r="R26" s="4" t="s">
        <v>7</v>
      </c>
      <c r="S26" s="4" t="s">
        <v>6</v>
      </c>
      <c r="T26" s="4" t="s">
        <v>19</v>
      </c>
      <c r="U26" s="4">
        <v>2</v>
      </c>
      <c r="V26" s="4" t="str">
        <f t="shared" si="5"/>
        <v>LOM-SKY-POST-2</v>
      </c>
      <c r="X26" s="36" t="s">
        <v>7</v>
      </c>
      <c r="Y26" s="37" t="s">
        <v>6</v>
      </c>
      <c r="Z26" s="37" t="s">
        <v>18</v>
      </c>
      <c r="AA26" s="37">
        <v>2</v>
      </c>
      <c r="AB26" s="38" t="str">
        <f t="shared" si="1"/>
        <v>LOM-SKY-PRE-2</v>
      </c>
      <c r="AD26" s="9" t="s">
        <v>3</v>
      </c>
      <c r="AE26" s="2" t="s">
        <v>6</v>
      </c>
      <c r="AF26" s="2" t="s">
        <v>47</v>
      </c>
      <c r="AG26" s="2">
        <v>12</v>
      </c>
      <c r="AH26" s="10" t="str">
        <f t="shared" si="12"/>
        <v>JCR-SKY-0.5hr-12</v>
      </c>
      <c r="AJ26" s="25" t="s">
        <v>7</v>
      </c>
      <c r="AK26" s="4" t="s">
        <v>6</v>
      </c>
      <c r="AL26" s="4" t="s">
        <v>28</v>
      </c>
      <c r="AM26" s="26" t="str">
        <f t="shared" si="11"/>
        <v>LOM-SKY-6h</v>
      </c>
    </row>
    <row r="27" spans="1:39" x14ac:dyDescent="0.2">
      <c r="A27" s="39">
        <v>24</v>
      </c>
      <c r="B27" s="9" t="s">
        <v>3</v>
      </c>
      <c r="C27" s="2" t="s">
        <v>6</v>
      </c>
      <c r="D27" s="2" t="s">
        <v>23</v>
      </c>
      <c r="E27" s="2">
        <v>24</v>
      </c>
      <c r="F27" s="10" t="str">
        <f t="shared" si="8"/>
        <v>LS-JCR-SKY-VAPOR-24hr</v>
      </c>
      <c r="H27" s="2" t="str">
        <f t="shared" si="4"/>
        <v>LS-JCR-SKY-VAPOR-24hr-d2H</v>
      </c>
      <c r="J27" s="4" t="s">
        <v>7</v>
      </c>
      <c r="K27" s="4" t="s">
        <v>6</v>
      </c>
      <c r="L27" s="4" t="s">
        <v>41</v>
      </c>
      <c r="M27" s="4">
        <v>3</v>
      </c>
      <c r="N27" s="4" t="str">
        <f t="shared" si="10"/>
        <v>CUE-LOM-SKY-72hr-3</v>
      </c>
      <c r="P27" t="str">
        <f t="shared" si="7"/>
        <v>CUE-LOM-SKY-72hr-3-d18O</v>
      </c>
      <c r="R27" s="4" t="s">
        <v>7</v>
      </c>
      <c r="S27" s="4" t="s">
        <v>6</v>
      </c>
      <c r="T27" s="4" t="s">
        <v>19</v>
      </c>
      <c r="U27" s="4">
        <v>3</v>
      </c>
      <c r="V27" s="4" t="str">
        <f t="shared" si="5"/>
        <v>LOM-SKY-POST-3</v>
      </c>
      <c r="X27" s="30" t="s">
        <v>7</v>
      </c>
      <c r="Y27" s="31" t="s">
        <v>6</v>
      </c>
      <c r="Z27" s="31" t="s">
        <v>18</v>
      </c>
      <c r="AA27" s="31">
        <v>3</v>
      </c>
      <c r="AB27" s="32" t="str">
        <f t="shared" si="1"/>
        <v>LOM-SKY-PRE-3</v>
      </c>
      <c r="AD27" s="11" t="s">
        <v>3</v>
      </c>
      <c r="AE27" s="12" t="s">
        <v>6</v>
      </c>
      <c r="AF27" s="12" t="s">
        <v>47</v>
      </c>
      <c r="AG27" s="12">
        <v>15</v>
      </c>
      <c r="AH27" s="13" t="str">
        <f t="shared" si="12"/>
        <v>JCR-SKY-0.5hr-15</v>
      </c>
      <c r="AJ27" s="25" t="s">
        <v>7</v>
      </c>
      <c r="AK27" s="4" t="s">
        <v>4</v>
      </c>
      <c r="AL27" s="4" t="s">
        <v>29</v>
      </c>
      <c r="AM27" s="26" t="str">
        <f t="shared" si="11"/>
        <v>LOM-ROS-24h</v>
      </c>
    </row>
    <row r="28" spans="1:39" x14ac:dyDescent="0.2">
      <c r="A28" s="39">
        <v>25</v>
      </c>
      <c r="B28" s="9" t="s">
        <v>3</v>
      </c>
      <c r="C28" s="2" t="s">
        <v>6</v>
      </c>
      <c r="D28" s="2" t="s">
        <v>23</v>
      </c>
      <c r="E28" s="2">
        <v>48</v>
      </c>
      <c r="F28" s="10" t="str">
        <f t="shared" si="8"/>
        <v>LS-JCR-SKY-VAPOR-48hr</v>
      </c>
      <c r="H28" s="2" t="str">
        <f t="shared" si="4"/>
        <v>LS-JCR-SKY-VAPOR-48hr-d2H</v>
      </c>
      <c r="X28" s="22" t="s">
        <v>7</v>
      </c>
      <c r="Y28" s="23" t="s">
        <v>4</v>
      </c>
      <c r="Z28" s="23" t="s">
        <v>35</v>
      </c>
      <c r="AA28" s="23">
        <v>1</v>
      </c>
      <c r="AB28" s="24" t="str">
        <f t="shared" si="1"/>
        <v>LOM-ROS-24hr-1</v>
      </c>
      <c r="AD28" s="6" t="s">
        <v>3</v>
      </c>
      <c r="AE28" s="7" t="s">
        <v>4</v>
      </c>
      <c r="AF28" s="7" t="s">
        <v>27</v>
      </c>
      <c r="AG28" s="7">
        <v>1</v>
      </c>
      <c r="AH28" s="8" t="str">
        <f>_xlfn.CONCAT(AD28,"-",AE28,"-",AF28,"-",AG28)</f>
        <v>JCR-ROS-1h-1</v>
      </c>
      <c r="AJ28" s="27" t="s">
        <v>7</v>
      </c>
      <c r="AK28" s="28" t="s">
        <v>4</v>
      </c>
      <c r="AL28" s="28" t="s">
        <v>30</v>
      </c>
      <c r="AM28" s="29" t="str">
        <f t="shared" si="11"/>
        <v>LOM-ROS-48h</v>
      </c>
    </row>
    <row r="29" spans="1:39" x14ac:dyDescent="0.2">
      <c r="A29" s="39">
        <v>26</v>
      </c>
      <c r="B29" s="11" t="s">
        <v>3</v>
      </c>
      <c r="C29" s="12" t="s">
        <v>6</v>
      </c>
      <c r="D29" s="12" t="s">
        <v>23</v>
      </c>
      <c r="E29" s="12">
        <v>72</v>
      </c>
      <c r="F29" s="13" t="str">
        <f t="shared" si="8"/>
        <v>LS-JCR-SKY-VAPOR-72hr</v>
      </c>
      <c r="H29" s="2" t="str">
        <f t="shared" si="4"/>
        <v>LS-JCR-SKY-VAPOR-72hr-d2H</v>
      </c>
      <c r="X29" s="25" t="s">
        <v>7</v>
      </c>
      <c r="Y29" s="4" t="s">
        <v>4</v>
      </c>
      <c r="Z29" s="4" t="s">
        <v>35</v>
      </c>
      <c r="AA29" s="4">
        <v>2</v>
      </c>
      <c r="AB29" s="26" t="str">
        <f t="shared" si="1"/>
        <v>LOM-ROS-24hr-2</v>
      </c>
      <c r="AD29" s="9" t="s">
        <v>3</v>
      </c>
      <c r="AE29" s="2" t="s">
        <v>4</v>
      </c>
      <c r="AF29" s="2" t="s">
        <v>27</v>
      </c>
      <c r="AG29" s="2">
        <v>2</v>
      </c>
      <c r="AH29" s="10" t="str">
        <f t="shared" ref="AH29:AH33" si="13">_xlfn.CONCAT(AD29,"-",AE29,"-",AF29,"-",AG29)</f>
        <v>JCR-ROS-1h-2</v>
      </c>
    </row>
    <row r="30" spans="1:39" x14ac:dyDescent="0.2">
      <c r="A30" s="39">
        <v>27</v>
      </c>
      <c r="B30" s="22" t="s">
        <v>7</v>
      </c>
      <c r="C30" s="23" t="s">
        <v>4</v>
      </c>
      <c r="D30" s="23" t="s">
        <v>5</v>
      </c>
      <c r="E30" s="23">
        <v>0</v>
      </c>
      <c r="F30" s="4" t="str">
        <f>_xlfn.CONCAT("LS","-",B30,"-",C30,"-",D30,"-",E30,"hr")</f>
        <v>LS-LOM-ROS-WET-0hr</v>
      </c>
      <c r="H30" s="4" t="s">
        <v>38</v>
      </c>
      <c r="X30" s="30" t="s">
        <v>7</v>
      </c>
      <c r="Y30" s="31" t="s">
        <v>4</v>
      </c>
      <c r="Z30" s="31" t="s">
        <v>35</v>
      </c>
      <c r="AA30" s="31">
        <v>3</v>
      </c>
      <c r="AB30" s="32" t="str">
        <f t="shared" si="1"/>
        <v>LOM-ROS-24hr-3</v>
      </c>
      <c r="AD30" s="9" t="s">
        <v>3</v>
      </c>
      <c r="AE30" s="2" t="s">
        <v>4</v>
      </c>
      <c r="AF30" s="2" t="s">
        <v>27</v>
      </c>
      <c r="AG30" s="2">
        <v>3</v>
      </c>
      <c r="AH30" s="10" t="str">
        <f t="shared" si="13"/>
        <v>JCR-ROS-1h-3</v>
      </c>
    </row>
    <row r="31" spans="1:39" x14ac:dyDescent="0.2">
      <c r="A31" s="39">
        <v>28</v>
      </c>
      <c r="B31" s="25" t="s">
        <v>7</v>
      </c>
      <c r="C31" s="4" t="s">
        <v>4</v>
      </c>
      <c r="D31" s="4" t="s">
        <v>5</v>
      </c>
      <c r="E31" s="4">
        <v>1</v>
      </c>
      <c r="F31" s="26" t="str">
        <f>_xlfn.CONCAT("LS","-",B31,"-",C31,"-",D31,"-",E31,"hr")</f>
        <v>LS-LOM-ROS-WET-1hr</v>
      </c>
      <c r="H31" s="4" t="str">
        <f t="shared" si="4"/>
        <v>LS-LOM-ROS-WET-1hr-d2H</v>
      </c>
      <c r="X31" s="33" t="s">
        <v>7</v>
      </c>
      <c r="Y31" s="34" t="s">
        <v>6</v>
      </c>
      <c r="Z31" s="34" t="s">
        <v>35</v>
      </c>
      <c r="AA31" s="34">
        <v>1</v>
      </c>
      <c r="AB31" s="35" t="str">
        <f t="shared" si="1"/>
        <v>LOM-SKY-24hr-1</v>
      </c>
      <c r="AD31" s="9" t="s">
        <v>3</v>
      </c>
      <c r="AE31" s="2" t="s">
        <v>4</v>
      </c>
      <c r="AF31" s="2" t="s">
        <v>27</v>
      </c>
      <c r="AG31" s="2">
        <v>8</v>
      </c>
      <c r="AH31" s="10" t="str">
        <f t="shared" si="13"/>
        <v>JCR-ROS-1h-8</v>
      </c>
    </row>
    <row r="32" spans="1:39" x14ac:dyDescent="0.2">
      <c r="A32" s="39">
        <v>29</v>
      </c>
      <c r="B32" s="25" t="s">
        <v>7</v>
      </c>
      <c r="C32" s="4" t="s">
        <v>4</v>
      </c>
      <c r="D32" s="4" t="s">
        <v>5</v>
      </c>
      <c r="E32" s="4">
        <v>3</v>
      </c>
      <c r="F32" s="26" t="str">
        <f t="shared" ref="F32:F55" si="14">_xlfn.CONCAT("LS","-",B32,"-",C32,"-",D32,"-",E32,"hr")</f>
        <v>LS-LOM-ROS-WET-3hr</v>
      </c>
      <c r="H32" s="4" t="str">
        <f t="shared" si="4"/>
        <v>LS-LOM-ROS-WET-3hr-d2H</v>
      </c>
      <c r="X32" s="36" t="s">
        <v>7</v>
      </c>
      <c r="Y32" s="37" t="s">
        <v>6</v>
      </c>
      <c r="Z32" s="37" t="s">
        <v>35</v>
      </c>
      <c r="AA32" s="37">
        <v>2</v>
      </c>
      <c r="AB32" s="38" t="str">
        <f t="shared" si="1"/>
        <v>LOM-SKY-24hr-2</v>
      </c>
      <c r="AD32" s="9" t="s">
        <v>3</v>
      </c>
      <c r="AE32" s="2" t="s">
        <v>4</v>
      </c>
      <c r="AF32" s="2" t="s">
        <v>27</v>
      </c>
      <c r="AG32" s="2">
        <v>12</v>
      </c>
      <c r="AH32" s="10" t="str">
        <f t="shared" si="13"/>
        <v>JCR-ROS-1h-12</v>
      </c>
    </row>
    <row r="33" spans="1:34" x14ac:dyDescent="0.2">
      <c r="A33" s="39">
        <v>30</v>
      </c>
      <c r="B33" s="25" t="s">
        <v>7</v>
      </c>
      <c r="C33" s="4" t="s">
        <v>4</v>
      </c>
      <c r="D33" s="4" t="s">
        <v>5</v>
      </c>
      <c r="E33" s="4">
        <v>6</v>
      </c>
      <c r="F33" s="26" t="str">
        <f>_xlfn.CONCAT("LS","-",B33,"-",C33,"-",D33,"-",E33,"hr")</f>
        <v>LS-LOM-ROS-WET-6hr</v>
      </c>
      <c r="H33" s="4" t="str">
        <f t="shared" si="4"/>
        <v>LS-LOM-ROS-WET-6hr-d2H</v>
      </c>
      <c r="X33" s="30" t="s">
        <v>7</v>
      </c>
      <c r="Y33" s="31" t="s">
        <v>6</v>
      </c>
      <c r="Z33" s="31" t="s">
        <v>35</v>
      </c>
      <c r="AA33" s="31">
        <v>3</v>
      </c>
      <c r="AB33" s="32" t="str">
        <f t="shared" si="1"/>
        <v>LOM-SKY-24hr-3</v>
      </c>
      <c r="AD33" s="11" t="s">
        <v>3</v>
      </c>
      <c r="AE33" s="12" t="s">
        <v>4</v>
      </c>
      <c r="AF33" s="12" t="s">
        <v>27</v>
      </c>
      <c r="AG33" s="12">
        <v>15</v>
      </c>
      <c r="AH33" s="13" t="str">
        <f t="shared" si="13"/>
        <v>JCR-ROS-1h-15</v>
      </c>
    </row>
    <row r="34" spans="1:34" x14ac:dyDescent="0.2">
      <c r="A34" s="39">
        <v>31</v>
      </c>
      <c r="B34" s="25" t="s">
        <v>7</v>
      </c>
      <c r="C34" s="4" t="s">
        <v>4</v>
      </c>
      <c r="D34" s="4" t="s">
        <v>5</v>
      </c>
      <c r="E34" s="4">
        <v>24</v>
      </c>
      <c r="F34" s="26" t="str">
        <f t="shared" si="14"/>
        <v>LS-LOM-ROS-WET-24hr</v>
      </c>
      <c r="H34" s="4" t="str">
        <f t="shared" si="4"/>
        <v>LS-LOM-ROS-WET-24hr-d2H</v>
      </c>
      <c r="X34" s="33" t="s">
        <v>7</v>
      </c>
      <c r="Y34" s="34" t="s">
        <v>4</v>
      </c>
      <c r="Z34" s="34" t="s">
        <v>41</v>
      </c>
      <c r="AA34" s="34">
        <v>1</v>
      </c>
      <c r="AB34" s="35" t="str">
        <f t="shared" si="1"/>
        <v>LOM-ROS-72hr-1</v>
      </c>
      <c r="AD34" s="6" t="s">
        <v>3</v>
      </c>
      <c r="AE34" s="7" t="s">
        <v>6</v>
      </c>
      <c r="AF34" s="7" t="s">
        <v>27</v>
      </c>
      <c r="AG34" s="7">
        <v>1</v>
      </c>
      <c r="AH34" s="8" t="str">
        <f>_xlfn.CONCAT(AD34,"-",AE34,"-",AF34,"-",AG34)</f>
        <v>JCR-SKY-1h-1</v>
      </c>
    </row>
    <row r="35" spans="1:34" x14ac:dyDescent="0.2">
      <c r="A35" s="39">
        <v>32</v>
      </c>
      <c r="B35" s="25" t="s">
        <v>7</v>
      </c>
      <c r="C35" s="4" t="s">
        <v>4</v>
      </c>
      <c r="D35" s="4" t="s">
        <v>5</v>
      </c>
      <c r="E35" s="4">
        <v>48</v>
      </c>
      <c r="F35" s="26" t="str">
        <f t="shared" si="14"/>
        <v>LS-LOM-ROS-WET-48hr</v>
      </c>
      <c r="H35" s="4" t="str">
        <f t="shared" si="4"/>
        <v>LS-LOM-ROS-WET-48hr-d2H</v>
      </c>
      <c r="X35" s="36" t="s">
        <v>7</v>
      </c>
      <c r="Y35" s="37" t="s">
        <v>4</v>
      </c>
      <c r="Z35" s="37" t="s">
        <v>41</v>
      </c>
      <c r="AA35" s="37">
        <v>2</v>
      </c>
      <c r="AB35" s="38" t="str">
        <f t="shared" si="1"/>
        <v>LOM-ROS-72hr-2</v>
      </c>
      <c r="AD35" s="9" t="s">
        <v>3</v>
      </c>
      <c r="AE35" s="2" t="s">
        <v>6</v>
      </c>
      <c r="AF35" s="2" t="s">
        <v>27</v>
      </c>
      <c r="AG35" s="2">
        <v>2</v>
      </c>
      <c r="AH35" s="10" t="str">
        <f t="shared" ref="AH35:AH39" si="15">_xlfn.CONCAT(AD35,"-",AE35,"-",AF35,"-",AG35)</f>
        <v>JCR-SKY-1h-2</v>
      </c>
    </row>
    <row r="36" spans="1:34" x14ac:dyDescent="0.2">
      <c r="A36" s="39">
        <v>33</v>
      </c>
      <c r="B36" s="27" t="s">
        <v>7</v>
      </c>
      <c r="C36" s="28" t="s">
        <v>4</v>
      </c>
      <c r="D36" s="28" t="s">
        <v>5</v>
      </c>
      <c r="E36" s="28">
        <v>72</v>
      </c>
      <c r="F36" s="29" t="str">
        <f t="shared" si="14"/>
        <v>LS-LOM-ROS-WET-72hr</v>
      </c>
      <c r="H36" s="4" t="str">
        <f t="shared" si="4"/>
        <v>LS-LOM-ROS-WET-72hr-d2H</v>
      </c>
      <c r="X36" s="30" t="s">
        <v>7</v>
      </c>
      <c r="Y36" s="31" t="s">
        <v>4</v>
      </c>
      <c r="Z36" s="31" t="s">
        <v>41</v>
      </c>
      <c r="AA36" s="31">
        <v>3</v>
      </c>
      <c r="AB36" s="32" t="str">
        <f t="shared" si="1"/>
        <v>LOM-ROS-72hr-3</v>
      </c>
      <c r="AD36" s="9" t="s">
        <v>3</v>
      </c>
      <c r="AE36" s="2" t="s">
        <v>6</v>
      </c>
      <c r="AF36" s="2" t="s">
        <v>27</v>
      </c>
      <c r="AG36" s="2">
        <v>3</v>
      </c>
      <c r="AH36" s="10" t="str">
        <f t="shared" si="15"/>
        <v>JCR-SKY-1h-3</v>
      </c>
    </row>
    <row r="37" spans="1:34" x14ac:dyDescent="0.2">
      <c r="A37" s="39">
        <v>34</v>
      </c>
      <c r="B37" s="25" t="s">
        <v>7</v>
      </c>
      <c r="C37" s="4" t="s">
        <v>4</v>
      </c>
      <c r="D37" s="4" t="s">
        <v>23</v>
      </c>
      <c r="E37" s="4">
        <v>1</v>
      </c>
      <c r="F37" s="26" t="str">
        <f t="shared" si="14"/>
        <v>LS-LOM-ROS-VAPOR-1hr</v>
      </c>
      <c r="H37" s="4" t="str">
        <f t="shared" si="4"/>
        <v>LS-LOM-ROS-VAPOR-1hr-d2H</v>
      </c>
      <c r="X37" s="22" t="s">
        <v>7</v>
      </c>
      <c r="Y37" s="23" t="s">
        <v>6</v>
      </c>
      <c r="Z37" s="23" t="s">
        <v>41</v>
      </c>
      <c r="AA37" s="23">
        <v>1</v>
      </c>
      <c r="AB37" s="24" t="str">
        <f t="shared" si="1"/>
        <v>LOM-SKY-72hr-1</v>
      </c>
      <c r="AD37" s="9" t="s">
        <v>3</v>
      </c>
      <c r="AE37" s="2" t="s">
        <v>6</v>
      </c>
      <c r="AF37" s="2" t="s">
        <v>27</v>
      </c>
      <c r="AG37" s="2">
        <v>8</v>
      </c>
      <c r="AH37" s="10" t="str">
        <f t="shared" si="15"/>
        <v>JCR-SKY-1h-8</v>
      </c>
    </row>
    <row r="38" spans="1:34" x14ac:dyDescent="0.2">
      <c r="A38" s="39">
        <v>35</v>
      </c>
      <c r="B38" s="25" t="s">
        <v>7</v>
      </c>
      <c r="C38" s="4" t="s">
        <v>4</v>
      </c>
      <c r="D38" s="4" t="s">
        <v>23</v>
      </c>
      <c r="E38" s="4">
        <v>3</v>
      </c>
      <c r="F38" s="26" t="str">
        <f t="shared" si="14"/>
        <v>LS-LOM-ROS-VAPOR-3hr</v>
      </c>
      <c r="H38" s="4" t="str">
        <f t="shared" si="4"/>
        <v>LS-LOM-ROS-VAPOR-3hr-d2H</v>
      </c>
      <c r="X38" s="25" t="s">
        <v>7</v>
      </c>
      <c r="Y38" s="4" t="s">
        <v>6</v>
      </c>
      <c r="Z38" s="4" t="s">
        <v>41</v>
      </c>
      <c r="AA38" s="4">
        <v>2</v>
      </c>
      <c r="AB38" s="26" t="str">
        <f t="shared" si="1"/>
        <v>LOM-SKY-72hr-2</v>
      </c>
      <c r="AD38" s="9" t="s">
        <v>3</v>
      </c>
      <c r="AE38" s="2" t="s">
        <v>6</v>
      </c>
      <c r="AF38" s="2" t="s">
        <v>27</v>
      </c>
      <c r="AG38" s="2">
        <v>12</v>
      </c>
      <c r="AH38" s="10" t="str">
        <f t="shared" si="15"/>
        <v>JCR-SKY-1h-12</v>
      </c>
    </row>
    <row r="39" spans="1:34" x14ac:dyDescent="0.2">
      <c r="A39" s="39">
        <v>36</v>
      </c>
      <c r="B39" s="25" t="s">
        <v>7</v>
      </c>
      <c r="C39" s="4" t="s">
        <v>4</v>
      </c>
      <c r="D39" s="4" t="s">
        <v>23</v>
      </c>
      <c r="E39" s="4">
        <v>6</v>
      </c>
      <c r="F39" s="26" t="str">
        <f t="shared" si="14"/>
        <v>LS-LOM-ROS-VAPOR-6hr</v>
      </c>
      <c r="H39" s="4" t="str">
        <f t="shared" si="4"/>
        <v>LS-LOM-ROS-VAPOR-6hr-d2H</v>
      </c>
      <c r="X39" s="27" t="s">
        <v>7</v>
      </c>
      <c r="Y39" s="28" t="s">
        <v>6</v>
      </c>
      <c r="Z39" s="28" t="s">
        <v>41</v>
      </c>
      <c r="AA39" s="28">
        <v>3</v>
      </c>
      <c r="AB39" s="29" t="str">
        <f t="shared" si="1"/>
        <v>LOM-SKY-72hr-3</v>
      </c>
      <c r="AD39" s="11" t="s">
        <v>3</v>
      </c>
      <c r="AE39" s="12" t="s">
        <v>6</v>
      </c>
      <c r="AF39" s="12" t="s">
        <v>27</v>
      </c>
      <c r="AG39" s="12">
        <v>15</v>
      </c>
      <c r="AH39" s="13" t="str">
        <f t="shared" si="15"/>
        <v>JCR-SKY-1h-15</v>
      </c>
    </row>
    <row r="40" spans="1:34" x14ac:dyDescent="0.2">
      <c r="A40" s="39">
        <v>37</v>
      </c>
      <c r="B40" s="25" t="s">
        <v>7</v>
      </c>
      <c r="C40" s="4" t="s">
        <v>4</v>
      </c>
      <c r="D40" s="4" t="s">
        <v>23</v>
      </c>
      <c r="E40" s="4">
        <v>24</v>
      </c>
      <c r="F40" s="26" t="str">
        <f t="shared" si="14"/>
        <v>LS-LOM-ROS-VAPOR-24hr</v>
      </c>
      <c r="H40" s="4" t="str">
        <f t="shared" si="4"/>
        <v>LS-LOM-ROS-VAPOR-24hr-d2H</v>
      </c>
      <c r="AD40" s="6" t="s">
        <v>3</v>
      </c>
      <c r="AE40" s="7" t="s">
        <v>4</v>
      </c>
      <c r="AF40" s="7" t="s">
        <v>28</v>
      </c>
      <c r="AG40" s="7">
        <v>1</v>
      </c>
      <c r="AH40" s="8" t="str">
        <f>_xlfn.CONCAT(AD40,"-",AE40,"-",AF40,"-",AG40)</f>
        <v>JCR-ROS-6h-1</v>
      </c>
    </row>
    <row r="41" spans="1:34" x14ac:dyDescent="0.2">
      <c r="A41" s="39">
        <v>38</v>
      </c>
      <c r="B41" s="25" t="s">
        <v>7</v>
      </c>
      <c r="C41" s="4" t="s">
        <v>4</v>
      </c>
      <c r="D41" s="4" t="s">
        <v>23</v>
      </c>
      <c r="E41" s="4">
        <v>48</v>
      </c>
      <c r="F41" s="26" t="str">
        <f t="shared" si="14"/>
        <v>LS-LOM-ROS-VAPOR-48hr</v>
      </c>
      <c r="H41" s="4" t="str">
        <f t="shared" si="4"/>
        <v>LS-LOM-ROS-VAPOR-48hr-d2H</v>
      </c>
      <c r="AD41" s="9" t="s">
        <v>3</v>
      </c>
      <c r="AE41" s="2" t="s">
        <v>4</v>
      </c>
      <c r="AF41" s="2" t="s">
        <v>28</v>
      </c>
      <c r="AG41" s="2">
        <v>2</v>
      </c>
      <c r="AH41" s="10" t="str">
        <f t="shared" ref="AH41:AH45" si="16">_xlfn.CONCAT(AD41,"-",AE41,"-",AF41,"-",AG41)</f>
        <v>JCR-ROS-6h-2</v>
      </c>
    </row>
    <row r="42" spans="1:34" x14ac:dyDescent="0.2">
      <c r="A42" s="39">
        <v>39</v>
      </c>
      <c r="B42" s="27" t="s">
        <v>7</v>
      </c>
      <c r="C42" s="28" t="s">
        <v>4</v>
      </c>
      <c r="D42" s="28" t="s">
        <v>23</v>
      </c>
      <c r="E42" s="28">
        <v>72</v>
      </c>
      <c r="F42" s="29" t="str">
        <f t="shared" si="14"/>
        <v>LS-LOM-ROS-VAPOR-72hr</v>
      </c>
      <c r="H42" s="4" t="str">
        <f t="shared" si="4"/>
        <v>LS-LOM-ROS-VAPOR-72hr-d2H</v>
      </c>
      <c r="AD42" s="9" t="s">
        <v>3</v>
      </c>
      <c r="AE42" s="2" t="s">
        <v>4</v>
      </c>
      <c r="AF42" s="2" t="s">
        <v>28</v>
      </c>
      <c r="AG42" s="2">
        <v>3</v>
      </c>
      <c r="AH42" s="10" t="str">
        <f t="shared" si="16"/>
        <v>JCR-ROS-6h-3</v>
      </c>
    </row>
    <row r="43" spans="1:34" x14ac:dyDescent="0.2">
      <c r="A43" s="39">
        <v>40</v>
      </c>
      <c r="B43" s="22" t="s">
        <v>7</v>
      </c>
      <c r="C43" s="23" t="s">
        <v>6</v>
      </c>
      <c r="D43" s="23" t="s">
        <v>5</v>
      </c>
      <c r="E43" s="23">
        <v>0</v>
      </c>
      <c r="F43" s="24" t="str">
        <f t="shared" si="14"/>
        <v>LS-LOM-SKY-WET-0hr</v>
      </c>
      <c r="H43" s="4" t="s">
        <v>38</v>
      </c>
      <c r="AD43" s="9" t="s">
        <v>3</v>
      </c>
      <c r="AE43" s="2" t="s">
        <v>4</v>
      </c>
      <c r="AF43" s="2" t="s">
        <v>28</v>
      </c>
      <c r="AG43" s="2">
        <v>8</v>
      </c>
      <c r="AH43" s="10" t="str">
        <f t="shared" si="16"/>
        <v>JCR-ROS-6h-8</v>
      </c>
    </row>
    <row r="44" spans="1:34" x14ac:dyDescent="0.2">
      <c r="A44" s="39">
        <v>41</v>
      </c>
      <c r="B44" s="25" t="s">
        <v>7</v>
      </c>
      <c r="C44" s="4" t="s">
        <v>6</v>
      </c>
      <c r="D44" s="4" t="s">
        <v>5</v>
      </c>
      <c r="E44" s="4">
        <v>1</v>
      </c>
      <c r="F44" s="26" t="str">
        <f t="shared" si="14"/>
        <v>LS-LOM-SKY-WET-1hr</v>
      </c>
      <c r="H44" s="4" t="str">
        <f t="shared" si="4"/>
        <v>LS-LOM-SKY-WET-1hr-d2H</v>
      </c>
      <c r="AD44" s="9" t="s">
        <v>3</v>
      </c>
      <c r="AE44" s="2" t="s">
        <v>4</v>
      </c>
      <c r="AF44" s="2" t="s">
        <v>28</v>
      </c>
      <c r="AG44" s="2">
        <v>12</v>
      </c>
      <c r="AH44" s="10" t="str">
        <f t="shared" si="16"/>
        <v>JCR-ROS-6h-12</v>
      </c>
    </row>
    <row r="45" spans="1:34" x14ac:dyDescent="0.2">
      <c r="A45" s="39">
        <v>42</v>
      </c>
      <c r="B45" s="25" t="s">
        <v>7</v>
      </c>
      <c r="C45" s="4" t="s">
        <v>6</v>
      </c>
      <c r="D45" s="4" t="s">
        <v>5</v>
      </c>
      <c r="E45" s="4">
        <v>3</v>
      </c>
      <c r="F45" s="26" t="str">
        <f t="shared" si="14"/>
        <v>LS-LOM-SKY-WET-3hr</v>
      </c>
      <c r="H45" s="4" t="str">
        <f t="shared" si="4"/>
        <v>LS-LOM-SKY-WET-3hr-d2H</v>
      </c>
      <c r="AD45" s="11" t="s">
        <v>3</v>
      </c>
      <c r="AE45" s="12" t="s">
        <v>4</v>
      </c>
      <c r="AF45" s="12" t="s">
        <v>28</v>
      </c>
      <c r="AG45" s="12">
        <v>15</v>
      </c>
      <c r="AH45" s="13" t="str">
        <f t="shared" si="16"/>
        <v>JCR-ROS-6h-15</v>
      </c>
    </row>
    <row r="46" spans="1:34" x14ac:dyDescent="0.2">
      <c r="A46" s="39">
        <v>43</v>
      </c>
      <c r="B46" s="25" t="s">
        <v>7</v>
      </c>
      <c r="C46" s="4" t="s">
        <v>6</v>
      </c>
      <c r="D46" s="4" t="s">
        <v>5</v>
      </c>
      <c r="E46" s="4">
        <v>6</v>
      </c>
      <c r="F46" s="26" t="str">
        <f t="shared" si="14"/>
        <v>LS-LOM-SKY-WET-6hr</v>
      </c>
      <c r="H46" s="4" t="str">
        <f t="shared" si="4"/>
        <v>LS-LOM-SKY-WET-6hr-d2H</v>
      </c>
      <c r="AD46" s="6" t="s">
        <v>3</v>
      </c>
      <c r="AE46" s="7" t="s">
        <v>6</v>
      </c>
      <c r="AF46" s="7" t="s">
        <v>28</v>
      </c>
      <c r="AG46" s="7">
        <v>1</v>
      </c>
      <c r="AH46" s="8" t="str">
        <f>_xlfn.CONCAT(AD46,"-",AE46,"-",AF46,"-",AG46)</f>
        <v>JCR-SKY-6h-1</v>
      </c>
    </row>
    <row r="47" spans="1:34" x14ac:dyDescent="0.2">
      <c r="A47" s="39">
        <v>44</v>
      </c>
      <c r="B47" s="25" t="s">
        <v>7</v>
      </c>
      <c r="C47" s="4" t="s">
        <v>6</v>
      </c>
      <c r="D47" s="4" t="s">
        <v>5</v>
      </c>
      <c r="E47" s="4">
        <v>24</v>
      </c>
      <c r="F47" s="26" t="str">
        <f t="shared" si="14"/>
        <v>LS-LOM-SKY-WET-24hr</v>
      </c>
      <c r="H47" s="4" t="str">
        <f t="shared" si="4"/>
        <v>LS-LOM-SKY-WET-24hr-d2H</v>
      </c>
      <c r="AD47" s="9" t="s">
        <v>3</v>
      </c>
      <c r="AE47" s="2" t="s">
        <v>6</v>
      </c>
      <c r="AF47" s="2" t="s">
        <v>28</v>
      </c>
      <c r="AG47" s="2">
        <v>2</v>
      </c>
      <c r="AH47" s="10" t="str">
        <f t="shared" ref="AH47:AH51" si="17">_xlfn.CONCAT(AD47,"-",AE47,"-",AF47,"-",AG47)</f>
        <v>JCR-SKY-6h-2</v>
      </c>
    </row>
    <row r="48" spans="1:34" x14ac:dyDescent="0.2">
      <c r="A48" s="39">
        <v>45</v>
      </c>
      <c r="B48" s="25" t="s">
        <v>7</v>
      </c>
      <c r="C48" s="4" t="s">
        <v>6</v>
      </c>
      <c r="D48" s="4" t="s">
        <v>5</v>
      </c>
      <c r="E48" s="4">
        <v>48</v>
      </c>
      <c r="F48" s="26" t="str">
        <f t="shared" si="14"/>
        <v>LS-LOM-SKY-WET-48hr</v>
      </c>
      <c r="H48" s="4" t="str">
        <f t="shared" si="4"/>
        <v>LS-LOM-SKY-WET-48hr-d2H</v>
      </c>
      <c r="AD48" s="9" t="s">
        <v>3</v>
      </c>
      <c r="AE48" s="2" t="s">
        <v>6</v>
      </c>
      <c r="AF48" s="2" t="s">
        <v>28</v>
      </c>
      <c r="AG48" s="2">
        <v>3</v>
      </c>
      <c r="AH48" s="10" t="str">
        <f t="shared" si="17"/>
        <v>JCR-SKY-6h-3</v>
      </c>
    </row>
    <row r="49" spans="1:34" x14ac:dyDescent="0.2">
      <c r="A49" s="39">
        <v>46</v>
      </c>
      <c r="B49" s="27" t="s">
        <v>7</v>
      </c>
      <c r="C49" s="28" t="s">
        <v>6</v>
      </c>
      <c r="D49" s="28" t="s">
        <v>5</v>
      </c>
      <c r="E49" s="28">
        <v>72</v>
      </c>
      <c r="F49" s="29" t="str">
        <f t="shared" si="14"/>
        <v>LS-LOM-SKY-WET-72hr</v>
      </c>
      <c r="H49" s="4" t="str">
        <f t="shared" si="4"/>
        <v>LS-LOM-SKY-WET-72hr-d2H</v>
      </c>
      <c r="AD49" s="9" t="s">
        <v>3</v>
      </c>
      <c r="AE49" s="2" t="s">
        <v>6</v>
      </c>
      <c r="AF49" s="2" t="s">
        <v>28</v>
      </c>
      <c r="AG49" s="2">
        <v>8</v>
      </c>
      <c r="AH49" s="10" t="str">
        <f t="shared" si="17"/>
        <v>JCR-SKY-6h-8</v>
      </c>
    </row>
    <row r="50" spans="1:34" x14ac:dyDescent="0.2">
      <c r="A50" s="39">
        <v>47</v>
      </c>
      <c r="B50" s="25" t="s">
        <v>7</v>
      </c>
      <c r="C50" s="4" t="s">
        <v>6</v>
      </c>
      <c r="D50" s="4" t="s">
        <v>23</v>
      </c>
      <c r="E50" s="4">
        <v>1</v>
      </c>
      <c r="F50" s="26" t="str">
        <f t="shared" si="14"/>
        <v>LS-LOM-SKY-VAPOR-1hr</v>
      </c>
      <c r="H50" s="4" t="str">
        <f t="shared" si="4"/>
        <v>LS-LOM-SKY-VAPOR-1hr-d2H</v>
      </c>
      <c r="AD50" s="9" t="s">
        <v>3</v>
      </c>
      <c r="AE50" s="2" t="s">
        <v>6</v>
      </c>
      <c r="AF50" s="2" t="s">
        <v>28</v>
      </c>
      <c r="AG50" s="2">
        <v>12</v>
      </c>
      <c r="AH50" s="10" t="str">
        <f t="shared" si="17"/>
        <v>JCR-SKY-6h-12</v>
      </c>
    </row>
    <row r="51" spans="1:34" x14ac:dyDescent="0.2">
      <c r="A51" s="39">
        <v>48</v>
      </c>
      <c r="B51" s="25" t="s">
        <v>7</v>
      </c>
      <c r="C51" s="4" t="s">
        <v>6</v>
      </c>
      <c r="D51" s="4" t="s">
        <v>23</v>
      </c>
      <c r="E51" s="4">
        <v>3</v>
      </c>
      <c r="F51" s="26" t="str">
        <f t="shared" si="14"/>
        <v>LS-LOM-SKY-VAPOR-3hr</v>
      </c>
      <c r="H51" s="4" t="str">
        <f t="shared" si="4"/>
        <v>LS-LOM-SKY-VAPOR-3hr-d2H</v>
      </c>
      <c r="AD51" s="11" t="s">
        <v>3</v>
      </c>
      <c r="AE51" s="12" t="s">
        <v>6</v>
      </c>
      <c r="AF51" s="12" t="s">
        <v>28</v>
      </c>
      <c r="AG51" s="12">
        <v>15</v>
      </c>
      <c r="AH51" s="13" t="str">
        <f t="shared" si="17"/>
        <v>JCR-SKY-6h-15</v>
      </c>
    </row>
    <row r="52" spans="1:34" x14ac:dyDescent="0.2">
      <c r="A52" s="39">
        <v>49</v>
      </c>
      <c r="B52" s="25" t="s">
        <v>7</v>
      </c>
      <c r="C52" s="4" t="s">
        <v>6</v>
      </c>
      <c r="D52" s="4" t="s">
        <v>23</v>
      </c>
      <c r="E52" s="4">
        <v>6</v>
      </c>
      <c r="F52" s="26" t="str">
        <f t="shared" si="14"/>
        <v>LS-LOM-SKY-VAPOR-6hr</v>
      </c>
      <c r="H52" s="4" t="str">
        <f t="shared" si="4"/>
        <v>LS-LOM-SKY-VAPOR-6hr-d2H</v>
      </c>
      <c r="AD52" s="6" t="s">
        <v>3</v>
      </c>
      <c r="AE52" s="7" t="s">
        <v>4</v>
      </c>
      <c r="AF52" s="7" t="s">
        <v>29</v>
      </c>
      <c r="AG52" s="7">
        <v>1</v>
      </c>
      <c r="AH52" s="8" t="str">
        <f>_xlfn.CONCAT(AD52,"-",AE52,"-",AF52,"-",AG52)</f>
        <v>JCR-ROS-24h-1</v>
      </c>
    </row>
    <row r="53" spans="1:34" x14ac:dyDescent="0.2">
      <c r="A53" s="39">
        <v>50</v>
      </c>
      <c r="B53" s="25" t="s">
        <v>7</v>
      </c>
      <c r="C53" s="4" t="s">
        <v>6</v>
      </c>
      <c r="D53" s="4" t="s">
        <v>23</v>
      </c>
      <c r="E53" s="4">
        <v>24</v>
      </c>
      <c r="F53" s="26" t="str">
        <f t="shared" si="14"/>
        <v>LS-LOM-SKY-VAPOR-24hr</v>
      </c>
      <c r="H53" s="4" t="str">
        <f t="shared" si="4"/>
        <v>LS-LOM-SKY-VAPOR-24hr-d2H</v>
      </c>
      <c r="AD53" s="9" t="s">
        <v>3</v>
      </c>
      <c r="AE53" s="2" t="s">
        <v>4</v>
      </c>
      <c r="AF53" s="2" t="s">
        <v>29</v>
      </c>
      <c r="AG53" s="2">
        <v>2</v>
      </c>
      <c r="AH53" s="10" t="str">
        <f t="shared" ref="AH53:AH57" si="18">_xlfn.CONCAT(AD53,"-",AE53,"-",AF53,"-",AG53)</f>
        <v>JCR-ROS-24h-2</v>
      </c>
    </row>
    <row r="54" spans="1:34" x14ac:dyDescent="0.2">
      <c r="A54" s="39">
        <v>51</v>
      </c>
      <c r="B54" s="25" t="s">
        <v>7</v>
      </c>
      <c r="C54" s="4" t="s">
        <v>6</v>
      </c>
      <c r="D54" s="4" t="s">
        <v>23</v>
      </c>
      <c r="E54" s="4">
        <v>48</v>
      </c>
      <c r="F54" s="26" t="str">
        <f t="shared" si="14"/>
        <v>LS-LOM-SKY-VAPOR-48hr</v>
      </c>
      <c r="H54" s="4" t="str">
        <f t="shared" si="4"/>
        <v>LS-LOM-SKY-VAPOR-48hr-d2H</v>
      </c>
      <c r="AD54" s="9" t="s">
        <v>3</v>
      </c>
      <c r="AE54" s="2" t="s">
        <v>4</v>
      </c>
      <c r="AF54" s="2" t="s">
        <v>29</v>
      </c>
      <c r="AG54" s="2">
        <v>3</v>
      </c>
      <c r="AH54" s="10" t="str">
        <f t="shared" si="18"/>
        <v>JCR-ROS-24h-3</v>
      </c>
    </row>
    <row r="55" spans="1:34" x14ac:dyDescent="0.2">
      <c r="A55" s="39">
        <v>52</v>
      </c>
      <c r="B55" s="27" t="s">
        <v>7</v>
      </c>
      <c r="C55" s="28" t="s">
        <v>6</v>
      </c>
      <c r="D55" s="28" t="s">
        <v>23</v>
      </c>
      <c r="E55" s="28">
        <v>72</v>
      </c>
      <c r="F55" s="29" t="str">
        <f t="shared" si="14"/>
        <v>LS-LOM-SKY-VAPOR-72hr</v>
      </c>
      <c r="H55" s="4" t="str">
        <f t="shared" si="4"/>
        <v>LS-LOM-SKY-VAPOR-72hr-d2H</v>
      </c>
      <c r="AD55" s="9" t="s">
        <v>3</v>
      </c>
      <c r="AE55" s="2" t="s">
        <v>4</v>
      </c>
      <c r="AF55" s="2" t="s">
        <v>29</v>
      </c>
      <c r="AG55" s="2">
        <v>8</v>
      </c>
      <c r="AH55" s="10" t="str">
        <f t="shared" si="18"/>
        <v>JCR-ROS-24h-8</v>
      </c>
    </row>
    <row r="56" spans="1:34" x14ac:dyDescent="0.2">
      <c r="A56" s="39">
        <v>53</v>
      </c>
      <c r="AD56" s="9" t="s">
        <v>3</v>
      </c>
      <c r="AE56" s="2" t="s">
        <v>4</v>
      </c>
      <c r="AF56" s="2" t="s">
        <v>29</v>
      </c>
      <c r="AG56" s="2">
        <v>12</v>
      </c>
      <c r="AH56" s="10" t="str">
        <f t="shared" si="18"/>
        <v>JCR-ROS-24h-12</v>
      </c>
    </row>
    <row r="57" spans="1:34" x14ac:dyDescent="0.2">
      <c r="A57" s="39">
        <v>54</v>
      </c>
      <c r="AD57" s="11" t="s">
        <v>3</v>
      </c>
      <c r="AE57" s="12" t="s">
        <v>4</v>
      </c>
      <c r="AF57" s="12" t="s">
        <v>29</v>
      </c>
      <c r="AG57" s="12">
        <v>15</v>
      </c>
      <c r="AH57" s="13" t="str">
        <f t="shared" si="18"/>
        <v>JCR-ROS-24h-15</v>
      </c>
    </row>
    <row r="58" spans="1:34" x14ac:dyDescent="0.2">
      <c r="A58" s="39">
        <v>55</v>
      </c>
      <c r="AD58" s="6" t="s">
        <v>3</v>
      </c>
      <c r="AE58" s="7" t="s">
        <v>6</v>
      </c>
      <c r="AF58" s="7" t="s">
        <v>29</v>
      </c>
      <c r="AG58" s="7">
        <v>1</v>
      </c>
      <c r="AH58" s="8" t="str">
        <f>_xlfn.CONCAT(AD58,"-",AE58,"-",AF58,"-",AG58)</f>
        <v>JCR-SKY-24h-1</v>
      </c>
    </row>
    <row r="59" spans="1:34" x14ac:dyDescent="0.2">
      <c r="A59" s="39">
        <v>56</v>
      </c>
      <c r="AD59" s="9" t="s">
        <v>3</v>
      </c>
      <c r="AE59" s="2" t="s">
        <v>6</v>
      </c>
      <c r="AF59" s="2" t="s">
        <v>29</v>
      </c>
      <c r="AG59" s="2">
        <v>2</v>
      </c>
      <c r="AH59" s="10" t="str">
        <f t="shared" ref="AH59:AH63" si="19">_xlfn.CONCAT(AD59,"-",AE59,"-",AF59,"-",AG59)</f>
        <v>JCR-SKY-24h-2</v>
      </c>
    </row>
    <row r="60" spans="1:34" x14ac:dyDescent="0.2">
      <c r="A60" s="39">
        <v>57</v>
      </c>
      <c r="AD60" s="9" t="s">
        <v>3</v>
      </c>
      <c r="AE60" s="2" t="s">
        <v>6</v>
      </c>
      <c r="AF60" s="2" t="s">
        <v>29</v>
      </c>
      <c r="AG60" s="2">
        <v>3</v>
      </c>
      <c r="AH60" s="10" t="str">
        <f t="shared" si="19"/>
        <v>JCR-SKY-24h-3</v>
      </c>
    </row>
    <row r="61" spans="1:34" x14ac:dyDescent="0.2">
      <c r="A61" s="39">
        <v>58</v>
      </c>
      <c r="AD61" s="9" t="s">
        <v>3</v>
      </c>
      <c r="AE61" s="2" t="s">
        <v>6</v>
      </c>
      <c r="AF61" s="2" t="s">
        <v>29</v>
      </c>
      <c r="AG61" s="2">
        <v>8</v>
      </c>
      <c r="AH61" s="10" t="str">
        <f t="shared" si="19"/>
        <v>JCR-SKY-24h-8</v>
      </c>
    </row>
    <row r="62" spans="1:34" x14ac:dyDescent="0.2">
      <c r="A62" s="39">
        <v>59</v>
      </c>
      <c r="AD62" s="9" t="s">
        <v>3</v>
      </c>
      <c r="AE62" s="2" t="s">
        <v>6</v>
      </c>
      <c r="AF62" s="2" t="s">
        <v>29</v>
      </c>
      <c r="AG62" s="2">
        <v>12</v>
      </c>
      <c r="AH62" s="10" t="str">
        <f t="shared" si="19"/>
        <v>JCR-SKY-24h-12</v>
      </c>
    </row>
    <row r="63" spans="1:34" x14ac:dyDescent="0.2">
      <c r="A63" s="39">
        <v>60</v>
      </c>
      <c r="AD63" s="11" t="s">
        <v>3</v>
      </c>
      <c r="AE63" s="12" t="s">
        <v>6</v>
      </c>
      <c r="AF63" s="12" t="s">
        <v>29</v>
      </c>
      <c r="AG63" s="12">
        <v>15</v>
      </c>
      <c r="AH63" s="13" t="str">
        <f t="shared" si="19"/>
        <v>JCR-SKY-24h-15</v>
      </c>
    </row>
    <row r="64" spans="1:34" x14ac:dyDescent="0.2">
      <c r="A64" s="39">
        <v>61</v>
      </c>
      <c r="AD64" s="6" t="s">
        <v>3</v>
      </c>
      <c r="AE64" s="7" t="s">
        <v>4</v>
      </c>
      <c r="AF64" s="7" t="s">
        <v>30</v>
      </c>
      <c r="AG64" s="7">
        <v>1</v>
      </c>
      <c r="AH64" s="8" t="str">
        <f>_xlfn.CONCAT(AD64,"-",AE64,"-",AF64,"-",AG64)</f>
        <v>JCR-ROS-48h-1</v>
      </c>
    </row>
    <row r="65" spans="1:34" x14ac:dyDescent="0.2">
      <c r="A65" s="39">
        <v>62</v>
      </c>
      <c r="AD65" s="9" t="s">
        <v>3</v>
      </c>
      <c r="AE65" s="2" t="s">
        <v>4</v>
      </c>
      <c r="AF65" s="2" t="s">
        <v>30</v>
      </c>
      <c r="AG65" s="2">
        <v>2</v>
      </c>
      <c r="AH65" s="10" t="str">
        <f t="shared" ref="AH65:AH69" si="20">_xlfn.CONCAT(AD65,"-",AE65,"-",AF65,"-",AG65)</f>
        <v>JCR-ROS-48h-2</v>
      </c>
    </row>
    <row r="66" spans="1:34" x14ac:dyDescent="0.2">
      <c r="A66" s="39">
        <v>63</v>
      </c>
      <c r="AD66" s="9" t="s">
        <v>3</v>
      </c>
      <c r="AE66" s="2" t="s">
        <v>4</v>
      </c>
      <c r="AF66" s="2" t="s">
        <v>30</v>
      </c>
      <c r="AG66" s="2">
        <v>3</v>
      </c>
      <c r="AH66" s="10" t="str">
        <f t="shared" si="20"/>
        <v>JCR-ROS-48h-3</v>
      </c>
    </row>
    <row r="67" spans="1:34" x14ac:dyDescent="0.2">
      <c r="A67" s="39">
        <v>64</v>
      </c>
      <c r="AD67" s="9" t="s">
        <v>3</v>
      </c>
      <c r="AE67" s="2" t="s">
        <v>4</v>
      </c>
      <c r="AF67" s="2" t="s">
        <v>30</v>
      </c>
      <c r="AG67" s="2">
        <v>8</v>
      </c>
      <c r="AH67" s="10" t="str">
        <f t="shared" si="20"/>
        <v>JCR-ROS-48h-8</v>
      </c>
    </row>
    <row r="68" spans="1:34" x14ac:dyDescent="0.2">
      <c r="A68" s="39">
        <v>65</v>
      </c>
      <c r="AD68" s="9" t="s">
        <v>3</v>
      </c>
      <c r="AE68" s="2" t="s">
        <v>4</v>
      </c>
      <c r="AF68" s="2" t="s">
        <v>30</v>
      </c>
      <c r="AG68" s="2">
        <v>12</v>
      </c>
      <c r="AH68" s="10" t="str">
        <f t="shared" si="20"/>
        <v>JCR-ROS-48h-12</v>
      </c>
    </row>
    <row r="69" spans="1:34" x14ac:dyDescent="0.2">
      <c r="A69" s="39">
        <v>66</v>
      </c>
      <c r="AD69" s="11" t="s">
        <v>3</v>
      </c>
      <c r="AE69" s="12" t="s">
        <v>4</v>
      </c>
      <c r="AF69" s="12" t="s">
        <v>30</v>
      </c>
      <c r="AG69" s="12">
        <v>15</v>
      </c>
      <c r="AH69" s="13" t="str">
        <f t="shared" si="20"/>
        <v>JCR-ROS-48h-15</v>
      </c>
    </row>
    <row r="70" spans="1:34" x14ac:dyDescent="0.2">
      <c r="A70" s="39">
        <v>67</v>
      </c>
      <c r="AD70" s="6" t="s">
        <v>3</v>
      </c>
      <c r="AE70" s="7" t="s">
        <v>6</v>
      </c>
      <c r="AF70" s="7" t="s">
        <v>30</v>
      </c>
      <c r="AG70" s="7">
        <v>1</v>
      </c>
      <c r="AH70" s="8" t="str">
        <f>_xlfn.CONCAT(AD70,"-",AE70,"-",AF70,"-",AG70)</f>
        <v>JCR-SKY-48h-1</v>
      </c>
    </row>
    <row r="71" spans="1:34" x14ac:dyDescent="0.2">
      <c r="A71" s="39">
        <v>68</v>
      </c>
      <c r="AD71" s="9" t="s">
        <v>3</v>
      </c>
      <c r="AE71" s="2" t="s">
        <v>6</v>
      </c>
      <c r="AF71" s="2" t="s">
        <v>30</v>
      </c>
      <c r="AG71" s="2">
        <v>2</v>
      </c>
      <c r="AH71" s="10" t="str">
        <f t="shared" ref="AH71:AH76" si="21">_xlfn.CONCAT(AD71,"-",AE71,"-",AF71,"-",AG71)</f>
        <v>JCR-SKY-48h-2</v>
      </c>
    </row>
    <row r="72" spans="1:34" x14ac:dyDescent="0.2">
      <c r="A72" s="39">
        <v>69</v>
      </c>
      <c r="AD72" s="9" t="s">
        <v>3</v>
      </c>
      <c r="AE72" s="2" t="s">
        <v>6</v>
      </c>
      <c r="AF72" s="2" t="s">
        <v>30</v>
      </c>
      <c r="AG72" s="2">
        <v>3</v>
      </c>
      <c r="AH72" s="10" t="str">
        <f t="shared" si="21"/>
        <v>JCR-SKY-48h-3</v>
      </c>
    </row>
    <row r="73" spans="1:34" x14ac:dyDescent="0.2">
      <c r="A73" s="39">
        <v>70</v>
      </c>
      <c r="AD73" s="9" t="s">
        <v>3</v>
      </c>
      <c r="AE73" s="2" t="s">
        <v>6</v>
      </c>
      <c r="AF73" s="2" t="s">
        <v>30</v>
      </c>
      <c r="AG73" s="2">
        <v>8</v>
      </c>
      <c r="AH73" s="10" t="str">
        <f t="shared" si="21"/>
        <v>JCR-SKY-48h-8</v>
      </c>
    </row>
    <row r="74" spans="1:34" x14ac:dyDescent="0.2">
      <c r="A74" s="39">
        <v>71</v>
      </c>
      <c r="AD74" s="9" t="s">
        <v>3</v>
      </c>
      <c r="AE74" s="2" t="s">
        <v>6</v>
      </c>
      <c r="AF74" s="2" t="s">
        <v>30</v>
      </c>
      <c r="AG74" s="2">
        <v>12</v>
      </c>
      <c r="AH74" s="10" t="str">
        <f t="shared" si="21"/>
        <v>JCR-SKY-48h-12</v>
      </c>
    </row>
    <row r="75" spans="1:34" x14ac:dyDescent="0.2">
      <c r="A75" s="39">
        <v>72</v>
      </c>
      <c r="AD75" s="11" t="s">
        <v>3</v>
      </c>
      <c r="AE75" s="12" t="s">
        <v>6</v>
      </c>
      <c r="AF75" s="12" t="s">
        <v>30</v>
      </c>
      <c r="AG75" s="12">
        <v>15</v>
      </c>
      <c r="AH75" s="13" t="str">
        <f t="shared" si="21"/>
        <v>JCR-SKY-48h-15</v>
      </c>
    </row>
    <row r="76" spans="1:34" x14ac:dyDescent="0.2">
      <c r="A76" s="39">
        <v>73</v>
      </c>
      <c r="AD76" s="9" t="s">
        <v>3</v>
      </c>
      <c r="AE76" s="2" t="s">
        <v>32</v>
      </c>
      <c r="AF76" s="2"/>
      <c r="AG76" s="2" t="s">
        <v>33</v>
      </c>
      <c r="AH76" s="10" t="str">
        <f t="shared" si="21"/>
        <v>JCR-BLANK--A</v>
      </c>
    </row>
    <row r="77" spans="1:34" x14ac:dyDescent="0.2">
      <c r="A77" s="39">
        <v>74</v>
      </c>
      <c r="AD77" s="9" t="s">
        <v>3</v>
      </c>
      <c r="AE77" s="2" t="s">
        <v>32</v>
      </c>
      <c r="AF77" s="2"/>
      <c r="AG77" s="2" t="s">
        <v>34</v>
      </c>
      <c r="AH77" s="10" t="str">
        <f t="shared" ref="AH77:AH78" si="22">_xlfn.CONCAT(AD77,"-",AE77,"-",AF77,"-",AG77)</f>
        <v>JCR-BLANK--B</v>
      </c>
    </row>
    <row r="78" spans="1:34" x14ac:dyDescent="0.2">
      <c r="A78" s="39">
        <v>75</v>
      </c>
      <c r="AD78" s="6" t="s">
        <v>3</v>
      </c>
      <c r="AE78" s="7" t="s">
        <v>46</v>
      </c>
      <c r="AF78" s="7"/>
      <c r="AG78" s="7" t="s">
        <v>33</v>
      </c>
      <c r="AH78" s="8" t="str">
        <f t="shared" si="22"/>
        <v>JCR-AMBIENT--A</v>
      </c>
    </row>
    <row r="79" spans="1:34" x14ac:dyDescent="0.2">
      <c r="A79" s="39">
        <v>76</v>
      </c>
      <c r="AD79" s="11" t="s">
        <v>3</v>
      </c>
      <c r="AE79" s="12" t="s">
        <v>46</v>
      </c>
      <c r="AF79" s="12"/>
      <c r="AG79" s="12" t="s">
        <v>34</v>
      </c>
      <c r="AH79" s="13" t="str">
        <f t="shared" ref="AH79" si="23">_xlfn.CONCAT(AD79,"-",AE79,"-",AF79,"-",AG79)</f>
        <v>JCR-AMBIENT--B</v>
      </c>
    </row>
    <row r="80" spans="1:34" x14ac:dyDescent="0.2">
      <c r="A80" s="39">
        <v>77</v>
      </c>
      <c r="AD80" s="14" t="s">
        <v>8</v>
      </c>
      <c r="AE80" s="15" t="s">
        <v>4</v>
      </c>
      <c r="AF80" s="15" t="s">
        <v>26</v>
      </c>
      <c r="AG80" s="15">
        <v>1</v>
      </c>
      <c r="AH80" s="16" t="str">
        <f>_xlfn.CONCAT(AD80,"-",AE80,"-",AF80,"-",AG80)</f>
        <v>PAL-ROS-pre-1</v>
      </c>
    </row>
    <row r="81" spans="1:34" x14ac:dyDescent="0.2">
      <c r="A81" s="39">
        <v>78</v>
      </c>
      <c r="AD81" s="17" t="s">
        <v>8</v>
      </c>
      <c r="AE81" s="3" t="s">
        <v>4</v>
      </c>
      <c r="AF81" s="3" t="s">
        <v>26</v>
      </c>
      <c r="AG81" s="3">
        <v>2</v>
      </c>
      <c r="AH81" s="18" t="str">
        <f t="shared" ref="AH81:AH85" si="24">_xlfn.CONCAT(AD81,"-",AE81,"-",AF81,"-",AG81)</f>
        <v>PAL-ROS-pre-2</v>
      </c>
    </row>
    <row r="82" spans="1:34" x14ac:dyDescent="0.2">
      <c r="A82" s="39">
        <v>79</v>
      </c>
      <c r="AD82" s="17" t="s">
        <v>8</v>
      </c>
      <c r="AE82" s="3" t="s">
        <v>4</v>
      </c>
      <c r="AF82" s="3" t="s">
        <v>26</v>
      </c>
      <c r="AG82" s="3">
        <v>3</v>
      </c>
      <c r="AH82" s="18" t="str">
        <f t="shared" si="24"/>
        <v>PAL-ROS-pre-3</v>
      </c>
    </row>
    <row r="83" spans="1:34" x14ac:dyDescent="0.2">
      <c r="A83" s="39">
        <v>80</v>
      </c>
      <c r="AD83" s="17" t="s">
        <v>8</v>
      </c>
      <c r="AE83" s="3" t="s">
        <v>4</v>
      </c>
      <c r="AF83" s="3" t="s">
        <v>26</v>
      </c>
      <c r="AG83" s="3">
        <v>8</v>
      </c>
      <c r="AH83" s="18" t="str">
        <f t="shared" si="24"/>
        <v>PAL-ROS-pre-8</v>
      </c>
    </row>
    <row r="84" spans="1:34" x14ac:dyDescent="0.2">
      <c r="A84" s="39">
        <v>81</v>
      </c>
      <c r="AD84" s="17" t="s">
        <v>8</v>
      </c>
      <c r="AE84" s="3" t="s">
        <v>4</v>
      </c>
      <c r="AF84" s="3" t="s">
        <v>26</v>
      </c>
      <c r="AG84" s="3">
        <v>12</v>
      </c>
      <c r="AH84" s="18" t="str">
        <f t="shared" si="24"/>
        <v>PAL-ROS-pre-12</v>
      </c>
    </row>
    <row r="85" spans="1:34" x14ac:dyDescent="0.2">
      <c r="A85" s="39">
        <v>82</v>
      </c>
      <c r="AD85" s="19" t="s">
        <v>8</v>
      </c>
      <c r="AE85" s="20" t="s">
        <v>4</v>
      </c>
      <c r="AF85" s="20" t="s">
        <v>26</v>
      </c>
      <c r="AG85" s="20">
        <v>15</v>
      </c>
      <c r="AH85" s="21" t="str">
        <f t="shared" si="24"/>
        <v>PAL-ROS-pre-15</v>
      </c>
    </row>
    <row r="86" spans="1:34" x14ac:dyDescent="0.2">
      <c r="A86" s="39">
        <v>83</v>
      </c>
      <c r="AD86" s="14" t="s">
        <v>8</v>
      </c>
      <c r="AE86" s="15" t="s">
        <v>6</v>
      </c>
      <c r="AF86" s="15" t="s">
        <v>26</v>
      </c>
      <c r="AG86" s="15">
        <v>1</v>
      </c>
      <c r="AH86" s="16" t="str">
        <f>_xlfn.CONCAT(AD86,"-",AE86,"-",AF86,"-",AG86)</f>
        <v>PAL-SKY-pre-1</v>
      </c>
    </row>
    <row r="87" spans="1:34" x14ac:dyDescent="0.2">
      <c r="A87" s="39">
        <v>84</v>
      </c>
      <c r="AD87" s="17" t="s">
        <v>8</v>
      </c>
      <c r="AE87" s="3" t="s">
        <v>6</v>
      </c>
      <c r="AF87" s="3" t="s">
        <v>26</v>
      </c>
      <c r="AG87" s="3">
        <v>2</v>
      </c>
      <c r="AH87" s="18" t="str">
        <f t="shared" ref="AH87:AH91" si="25">_xlfn.CONCAT(AD87,"-",AE87,"-",AF87,"-",AG87)</f>
        <v>PAL-SKY-pre-2</v>
      </c>
    </row>
    <row r="88" spans="1:34" x14ac:dyDescent="0.2">
      <c r="A88" s="39">
        <v>85</v>
      </c>
      <c r="AD88" s="17" t="s">
        <v>8</v>
      </c>
      <c r="AE88" s="3" t="s">
        <v>6</v>
      </c>
      <c r="AF88" s="3" t="s">
        <v>26</v>
      </c>
      <c r="AG88" s="3">
        <v>3</v>
      </c>
      <c r="AH88" s="18" t="str">
        <f t="shared" si="25"/>
        <v>PAL-SKY-pre-3</v>
      </c>
    </row>
    <row r="89" spans="1:34" x14ac:dyDescent="0.2">
      <c r="A89" s="39">
        <v>86</v>
      </c>
      <c r="AD89" s="17" t="s">
        <v>8</v>
      </c>
      <c r="AE89" s="3" t="s">
        <v>6</v>
      </c>
      <c r="AF89" s="3" t="s">
        <v>26</v>
      </c>
      <c r="AG89" s="3">
        <v>8</v>
      </c>
      <c r="AH89" s="18" t="str">
        <f t="shared" si="25"/>
        <v>PAL-SKY-pre-8</v>
      </c>
    </row>
    <row r="90" spans="1:34" x14ac:dyDescent="0.2">
      <c r="A90" s="39">
        <v>87</v>
      </c>
      <c r="AD90" s="17" t="s">
        <v>8</v>
      </c>
      <c r="AE90" s="3" t="s">
        <v>6</v>
      </c>
      <c r="AF90" s="3" t="s">
        <v>26</v>
      </c>
      <c r="AG90" s="3">
        <v>12</v>
      </c>
      <c r="AH90" s="18" t="str">
        <f t="shared" si="25"/>
        <v>PAL-SKY-pre-12</v>
      </c>
    </row>
    <row r="91" spans="1:34" x14ac:dyDescent="0.2">
      <c r="A91" s="39">
        <v>88</v>
      </c>
      <c r="AD91" s="19" t="s">
        <v>8</v>
      </c>
      <c r="AE91" s="20" t="s">
        <v>6</v>
      </c>
      <c r="AF91" s="20" t="s">
        <v>26</v>
      </c>
      <c r="AG91" s="20">
        <v>15</v>
      </c>
      <c r="AH91" s="21" t="str">
        <f t="shared" si="25"/>
        <v>PAL-SKY-pre-15</v>
      </c>
    </row>
    <row r="92" spans="1:34" x14ac:dyDescent="0.2">
      <c r="A92" s="39">
        <v>89</v>
      </c>
      <c r="AD92" s="14" t="s">
        <v>8</v>
      </c>
      <c r="AE92" s="15" t="s">
        <v>4</v>
      </c>
      <c r="AF92" s="15" t="s">
        <v>27</v>
      </c>
      <c r="AG92" s="15">
        <v>1</v>
      </c>
      <c r="AH92" s="16" t="str">
        <f>_xlfn.CONCAT(AD92,"-",AE92,"-",AF92,"-",AG92)</f>
        <v>PAL-ROS-1h-1</v>
      </c>
    </row>
    <row r="93" spans="1:34" x14ac:dyDescent="0.2">
      <c r="A93" s="39">
        <v>90</v>
      </c>
      <c r="AD93" s="17" t="s">
        <v>8</v>
      </c>
      <c r="AE93" s="3" t="s">
        <v>4</v>
      </c>
      <c r="AF93" s="3" t="s">
        <v>27</v>
      </c>
      <c r="AG93" s="3">
        <v>2</v>
      </c>
      <c r="AH93" s="18" t="str">
        <f t="shared" ref="AH93:AH97" si="26">_xlfn.CONCAT(AD93,"-",AE93,"-",AF93,"-",AG93)</f>
        <v>PAL-ROS-1h-2</v>
      </c>
    </row>
    <row r="94" spans="1:34" x14ac:dyDescent="0.2">
      <c r="A94" s="39">
        <v>91</v>
      </c>
      <c r="AD94" s="17" t="s">
        <v>8</v>
      </c>
      <c r="AE94" s="3" t="s">
        <v>4</v>
      </c>
      <c r="AF94" s="3" t="s">
        <v>27</v>
      </c>
      <c r="AG94" s="3">
        <v>3</v>
      </c>
      <c r="AH94" s="18" t="str">
        <f t="shared" si="26"/>
        <v>PAL-ROS-1h-3</v>
      </c>
    </row>
    <row r="95" spans="1:34" x14ac:dyDescent="0.2">
      <c r="A95" s="39">
        <v>92</v>
      </c>
      <c r="AD95" s="17" t="s">
        <v>8</v>
      </c>
      <c r="AE95" s="3" t="s">
        <v>4</v>
      </c>
      <c r="AF95" s="3" t="s">
        <v>27</v>
      </c>
      <c r="AG95" s="3">
        <v>8</v>
      </c>
      <c r="AH95" s="18" t="str">
        <f t="shared" si="26"/>
        <v>PAL-ROS-1h-8</v>
      </c>
    </row>
    <row r="96" spans="1:34" x14ac:dyDescent="0.2">
      <c r="A96" s="39">
        <v>93</v>
      </c>
      <c r="AD96" s="17" t="s">
        <v>8</v>
      </c>
      <c r="AE96" s="3" t="s">
        <v>4</v>
      </c>
      <c r="AF96" s="3" t="s">
        <v>27</v>
      </c>
      <c r="AG96" s="3">
        <v>12</v>
      </c>
      <c r="AH96" s="18" t="str">
        <f t="shared" si="26"/>
        <v>PAL-ROS-1h-12</v>
      </c>
    </row>
    <row r="97" spans="1:34" x14ac:dyDescent="0.2">
      <c r="A97" s="39">
        <v>94</v>
      </c>
      <c r="AD97" s="19" t="s">
        <v>8</v>
      </c>
      <c r="AE97" s="20" t="s">
        <v>4</v>
      </c>
      <c r="AF97" s="20" t="s">
        <v>27</v>
      </c>
      <c r="AG97" s="20">
        <v>15</v>
      </c>
      <c r="AH97" s="21" t="str">
        <f t="shared" si="26"/>
        <v>PAL-ROS-1h-15</v>
      </c>
    </row>
    <row r="98" spans="1:34" x14ac:dyDescent="0.2">
      <c r="A98" s="39">
        <v>95</v>
      </c>
      <c r="AD98" s="14" t="s">
        <v>8</v>
      </c>
      <c r="AE98" s="15" t="s">
        <v>6</v>
      </c>
      <c r="AF98" s="15" t="s">
        <v>27</v>
      </c>
      <c r="AG98" s="15">
        <v>1</v>
      </c>
      <c r="AH98" s="16" t="str">
        <f>_xlfn.CONCAT(AD98,"-",AE98,"-",AF98,"-",AG98)</f>
        <v>PAL-SKY-1h-1</v>
      </c>
    </row>
    <row r="99" spans="1:34" x14ac:dyDescent="0.2">
      <c r="A99" s="39">
        <v>96</v>
      </c>
      <c r="AD99" s="17" t="s">
        <v>8</v>
      </c>
      <c r="AE99" s="3" t="s">
        <v>6</v>
      </c>
      <c r="AF99" s="3" t="s">
        <v>27</v>
      </c>
      <c r="AG99" s="3">
        <v>2</v>
      </c>
      <c r="AH99" s="18" t="str">
        <f t="shared" ref="AH99:AH103" si="27">_xlfn.CONCAT(AD99,"-",AE99,"-",AF99,"-",AG99)</f>
        <v>PAL-SKY-1h-2</v>
      </c>
    </row>
    <row r="100" spans="1:34" x14ac:dyDescent="0.2">
      <c r="A100" s="39">
        <v>97</v>
      </c>
      <c r="AD100" s="17" t="s">
        <v>8</v>
      </c>
      <c r="AE100" s="3" t="s">
        <v>6</v>
      </c>
      <c r="AF100" s="3" t="s">
        <v>27</v>
      </c>
      <c r="AG100" s="3">
        <v>3</v>
      </c>
      <c r="AH100" s="18" t="str">
        <f t="shared" si="27"/>
        <v>PAL-SKY-1h-3</v>
      </c>
    </row>
    <row r="101" spans="1:34" x14ac:dyDescent="0.2">
      <c r="A101" s="39">
        <v>98</v>
      </c>
      <c r="AD101" s="17" t="s">
        <v>8</v>
      </c>
      <c r="AE101" s="3" t="s">
        <v>6</v>
      </c>
      <c r="AF101" s="3" t="s">
        <v>27</v>
      </c>
      <c r="AG101" s="3">
        <v>8</v>
      </c>
      <c r="AH101" s="18" t="str">
        <f t="shared" si="27"/>
        <v>PAL-SKY-1h-8</v>
      </c>
    </row>
    <row r="102" spans="1:34" x14ac:dyDescent="0.2">
      <c r="A102" s="39">
        <v>99</v>
      </c>
      <c r="AD102" s="17" t="s">
        <v>8</v>
      </c>
      <c r="AE102" s="3" t="s">
        <v>6</v>
      </c>
      <c r="AF102" s="3" t="s">
        <v>27</v>
      </c>
      <c r="AG102" s="3">
        <v>12</v>
      </c>
      <c r="AH102" s="18" t="str">
        <f t="shared" si="27"/>
        <v>PAL-SKY-1h-12</v>
      </c>
    </row>
    <row r="103" spans="1:34" x14ac:dyDescent="0.2">
      <c r="A103" s="39">
        <v>100</v>
      </c>
      <c r="AD103" s="19" t="s">
        <v>8</v>
      </c>
      <c r="AE103" s="20" t="s">
        <v>6</v>
      </c>
      <c r="AF103" s="20" t="s">
        <v>27</v>
      </c>
      <c r="AG103" s="20">
        <v>15</v>
      </c>
      <c r="AH103" s="21" t="str">
        <f t="shared" si="27"/>
        <v>PAL-SKY-1h-15</v>
      </c>
    </row>
    <row r="104" spans="1:34" x14ac:dyDescent="0.2">
      <c r="A104" s="39">
        <v>101</v>
      </c>
      <c r="AD104" s="14" t="s">
        <v>8</v>
      </c>
      <c r="AE104" s="15" t="s">
        <v>4</v>
      </c>
      <c r="AF104" s="15" t="s">
        <v>28</v>
      </c>
      <c r="AG104" s="15">
        <v>1</v>
      </c>
      <c r="AH104" s="16" t="str">
        <f>_xlfn.CONCAT(AD104,"-",AE104,"-",AF104,"-",AG104)</f>
        <v>PAL-ROS-6h-1</v>
      </c>
    </row>
    <row r="105" spans="1:34" x14ac:dyDescent="0.2">
      <c r="A105" s="39">
        <v>102</v>
      </c>
      <c r="AD105" s="17" t="s">
        <v>8</v>
      </c>
      <c r="AE105" s="3" t="s">
        <v>4</v>
      </c>
      <c r="AF105" s="3" t="s">
        <v>28</v>
      </c>
      <c r="AG105" s="3">
        <v>2</v>
      </c>
      <c r="AH105" s="18" t="str">
        <f t="shared" ref="AH105:AH109" si="28">_xlfn.CONCAT(AD105,"-",AE105,"-",AF105,"-",AG105)</f>
        <v>PAL-ROS-6h-2</v>
      </c>
    </row>
    <row r="106" spans="1:34" x14ac:dyDescent="0.2">
      <c r="A106" s="39">
        <v>103</v>
      </c>
      <c r="AD106" s="17" t="s">
        <v>8</v>
      </c>
      <c r="AE106" s="3" t="s">
        <v>4</v>
      </c>
      <c r="AF106" s="3" t="s">
        <v>28</v>
      </c>
      <c r="AG106" s="3">
        <v>3</v>
      </c>
      <c r="AH106" s="18" t="str">
        <f t="shared" si="28"/>
        <v>PAL-ROS-6h-3</v>
      </c>
    </row>
    <row r="107" spans="1:34" x14ac:dyDescent="0.2">
      <c r="A107" s="39">
        <v>104</v>
      </c>
      <c r="AD107" s="17" t="s">
        <v>8</v>
      </c>
      <c r="AE107" s="3" t="s">
        <v>4</v>
      </c>
      <c r="AF107" s="3" t="s">
        <v>28</v>
      </c>
      <c r="AG107" s="3">
        <v>8</v>
      </c>
      <c r="AH107" s="18" t="str">
        <f t="shared" si="28"/>
        <v>PAL-ROS-6h-8</v>
      </c>
    </row>
    <row r="108" spans="1:34" x14ac:dyDescent="0.2">
      <c r="A108" s="39">
        <v>105</v>
      </c>
      <c r="AD108" s="17" t="s">
        <v>8</v>
      </c>
      <c r="AE108" s="3" t="s">
        <v>4</v>
      </c>
      <c r="AF108" s="3" t="s">
        <v>28</v>
      </c>
      <c r="AG108" s="3">
        <v>12</v>
      </c>
      <c r="AH108" s="18" t="str">
        <f t="shared" si="28"/>
        <v>PAL-ROS-6h-12</v>
      </c>
    </row>
    <row r="109" spans="1:34" x14ac:dyDescent="0.2">
      <c r="A109" s="39">
        <v>106</v>
      </c>
      <c r="AD109" s="19" t="s">
        <v>8</v>
      </c>
      <c r="AE109" s="20" t="s">
        <v>4</v>
      </c>
      <c r="AF109" s="20" t="s">
        <v>28</v>
      </c>
      <c r="AG109" s="20">
        <v>15</v>
      </c>
      <c r="AH109" s="21" t="str">
        <f t="shared" si="28"/>
        <v>PAL-ROS-6h-15</v>
      </c>
    </row>
    <row r="110" spans="1:34" x14ac:dyDescent="0.2">
      <c r="A110" s="39">
        <v>107</v>
      </c>
      <c r="AD110" s="14" t="s">
        <v>8</v>
      </c>
      <c r="AE110" s="15" t="s">
        <v>6</v>
      </c>
      <c r="AF110" s="15" t="s">
        <v>28</v>
      </c>
      <c r="AG110" s="15">
        <v>1</v>
      </c>
      <c r="AH110" s="16" t="str">
        <f>_xlfn.CONCAT(AD110,"-",AE110,"-",AF110,"-",AG110)</f>
        <v>PAL-SKY-6h-1</v>
      </c>
    </row>
    <row r="111" spans="1:34" x14ac:dyDescent="0.2">
      <c r="A111" s="39">
        <v>108</v>
      </c>
      <c r="AD111" s="17" t="s">
        <v>8</v>
      </c>
      <c r="AE111" s="3" t="s">
        <v>6</v>
      </c>
      <c r="AF111" s="3" t="s">
        <v>28</v>
      </c>
      <c r="AG111" s="3">
        <v>2</v>
      </c>
      <c r="AH111" s="18" t="str">
        <f t="shared" ref="AH111:AH115" si="29">_xlfn.CONCAT(AD111,"-",AE111,"-",AF111,"-",AG111)</f>
        <v>PAL-SKY-6h-2</v>
      </c>
    </row>
    <row r="112" spans="1:34" x14ac:dyDescent="0.2">
      <c r="A112" s="39">
        <v>109</v>
      </c>
      <c r="AD112" s="17" t="s">
        <v>8</v>
      </c>
      <c r="AE112" s="3" t="s">
        <v>6</v>
      </c>
      <c r="AF112" s="3" t="s">
        <v>28</v>
      </c>
      <c r="AG112" s="3">
        <v>3</v>
      </c>
      <c r="AH112" s="18" t="str">
        <f t="shared" si="29"/>
        <v>PAL-SKY-6h-3</v>
      </c>
    </row>
    <row r="113" spans="1:34" x14ac:dyDescent="0.2">
      <c r="A113" s="39">
        <v>110</v>
      </c>
      <c r="AD113" s="17" t="s">
        <v>8</v>
      </c>
      <c r="AE113" s="3" t="s">
        <v>6</v>
      </c>
      <c r="AF113" s="3" t="s">
        <v>28</v>
      </c>
      <c r="AG113" s="3">
        <v>8</v>
      </c>
      <c r="AH113" s="18" t="str">
        <f t="shared" si="29"/>
        <v>PAL-SKY-6h-8</v>
      </c>
    </row>
    <row r="114" spans="1:34" x14ac:dyDescent="0.2">
      <c r="A114" s="39">
        <v>111</v>
      </c>
      <c r="AD114" s="17" t="s">
        <v>8</v>
      </c>
      <c r="AE114" s="3" t="s">
        <v>6</v>
      </c>
      <c r="AF114" s="3" t="s">
        <v>28</v>
      </c>
      <c r="AG114" s="3">
        <v>12</v>
      </c>
      <c r="AH114" s="18" t="str">
        <f t="shared" si="29"/>
        <v>PAL-SKY-6h-12</v>
      </c>
    </row>
    <row r="115" spans="1:34" x14ac:dyDescent="0.2">
      <c r="A115" s="39">
        <v>112</v>
      </c>
      <c r="AD115" s="19" t="s">
        <v>8</v>
      </c>
      <c r="AE115" s="20" t="s">
        <v>6</v>
      </c>
      <c r="AF115" s="20" t="s">
        <v>28</v>
      </c>
      <c r="AG115" s="20">
        <v>15</v>
      </c>
      <c r="AH115" s="21" t="str">
        <f t="shared" si="29"/>
        <v>PAL-SKY-6h-15</v>
      </c>
    </row>
    <row r="116" spans="1:34" x14ac:dyDescent="0.2">
      <c r="A116" s="39">
        <v>113</v>
      </c>
      <c r="AD116" s="14" t="s">
        <v>8</v>
      </c>
      <c r="AE116" s="15" t="s">
        <v>4</v>
      </c>
      <c r="AF116" s="15" t="s">
        <v>29</v>
      </c>
      <c r="AG116" s="15">
        <v>1</v>
      </c>
      <c r="AH116" s="16" t="str">
        <f>_xlfn.CONCAT(AD116,"-",AE116,"-",AF116,"-",AG116)</f>
        <v>PAL-ROS-24h-1</v>
      </c>
    </row>
    <row r="117" spans="1:34" x14ac:dyDescent="0.2">
      <c r="A117" s="39">
        <v>114</v>
      </c>
      <c r="AD117" s="17" t="s">
        <v>8</v>
      </c>
      <c r="AE117" s="3" t="s">
        <v>4</v>
      </c>
      <c r="AF117" s="3" t="s">
        <v>29</v>
      </c>
      <c r="AG117" s="3">
        <v>2</v>
      </c>
      <c r="AH117" s="18" t="str">
        <f t="shared" ref="AH117:AH121" si="30">_xlfn.CONCAT(AD117,"-",AE117,"-",AF117,"-",AG117)</f>
        <v>PAL-ROS-24h-2</v>
      </c>
    </row>
    <row r="118" spans="1:34" x14ac:dyDescent="0.2">
      <c r="A118" s="39">
        <v>115</v>
      </c>
      <c r="AD118" s="17" t="s">
        <v>8</v>
      </c>
      <c r="AE118" s="3" t="s">
        <v>4</v>
      </c>
      <c r="AF118" s="3" t="s">
        <v>29</v>
      </c>
      <c r="AG118" s="3">
        <v>3</v>
      </c>
      <c r="AH118" s="18" t="str">
        <f t="shared" si="30"/>
        <v>PAL-ROS-24h-3</v>
      </c>
    </row>
    <row r="119" spans="1:34" x14ac:dyDescent="0.2">
      <c r="A119" s="39">
        <v>116</v>
      </c>
      <c r="AD119" s="17" t="s">
        <v>8</v>
      </c>
      <c r="AE119" s="3" t="s">
        <v>4</v>
      </c>
      <c r="AF119" s="3" t="s">
        <v>29</v>
      </c>
      <c r="AG119" s="3">
        <v>8</v>
      </c>
      <c r="AH119" s="18" t="str">
        <f t="shared" si="30"/>
        <v>PAL-ROS-24h-8</v>
      </c>
    </row>
    <row r="120" spans="1:34" x14ac:dyDescent="0.2">
      <c r="A120" s="39">
        <v>117</v>
      </c>
      <c r="AD120" s="17" t="s">
        <v>8</v>
      </c>
      <c r="AE120" s="3" t="s">
        <v>4</v>
      </c>
      <c r="AF120" s="3" t="s">
        <v>29</v>
      </c>
      <c r="AG120" s="3">
        <v>12</v>
      </c>
      <c r="AH120" s="18" t="str">
        <f t="shared" si="30"/>
        <v>PAL-ROS-24h-12</v>
      </c>
    </row>
    <row r="121" spans="1:34" x14ac:dyDescent="0.2">
      <c r="A121" s="39">
        <v>118</v>
      </c>
      <c r="AD121" s="19" t="s">
        <v>8</v>
      </c>
      <c r="AE121" s="20" t="s">
        <v>4</v>
      </c>
      <c r="AF121" s="20" t="s">
        <v>29</v>
      </c>
      <c r="AG121" s="20">
        <v>15</v>
      </c>
      <c r="AH121" s="21" t="str">
        <f t="shared" si="30"/>
        <v>PAL-ROS-24h-15</v>
      </c>
    </row>
    <row r="122" spans="1:34" x14ac:dyDescent="0.2">
      <c r="A122" s="39">
        <v>119</v>
      </c>
      <c r="AD122" s="14" t="s">
        <v>8</v>
      </c>
      <c r="AE122" s="15" t="s">
        <v>6</v>
      </c>
      <c r="AF122" s="15" t="s">
        <v>29</v>
      </c>
      <c r="AG122" s="15">
        <v>1</v>
      </c>
      <c r="AH122" s="16" t="str">
        <f>_xlfn.CONCAT(AD122,"-",AE122,"-",AF122,"-",AG122)</f>
        <v>PAL-SKY-24h-1</v>
      </c>
    </row>
    <row r="123" spans="1:34" x14ac:dyDescent="0.2">
      <c r="A123" s="39">
        <v>120</v>
      </c>
      <c r="AD123" s="17" t="s">
        <v>8</v>
      </c>
      <c r="AE123" s="3" t="s">
        <v>6</v>
      </c>
      <c r="AF123" s="3" t="s">
        <v>29</v>
      </c>
      <c r="AG123" s="3">
        <v>2</v>
      </c>
      <c r="AH123" s="18" t="str">
        <f t="shared" ref="AH123:AH127" si="31">_xlfn.CONCAT(AD123,"-",AE123,"-",AF123,"-",AG123)</f>
        <v>PAL-SKY-24h-2</v>
      </c>
    </row>
    <row r="124" spans="1:34" x14ac:dyDescent="0.2">
      <c r="A124" s="39">
        <v>121</v>
      </c>
      <c r="AD124" s="17" t="s">
        <v>8</v>
      </c>
      <c r="AE124" s="3" t="s">
        <v>6</v>
      </c>
      <c r="AF124" s="3" t="s">
        <v>29</v>
      </c>
      <c r="AG124" s="3">
        <v>3</v>
      </c>
      <c r="AH124" s="18" t="str">
        <f t="shared" si="31"/>
        <v>PAL-SKY-24h-3</v>
      </c>
    </row>
    <row r="125" spans="1:34" x14ac:dyDescent="0.2">
      <c r="A125" s="39">
        <v>122</v>
      </c>
      <c r="AD125" s="17" t="s">
        <v>8</v>
      </c>
      <c r="AE125" s="3" t="s">
        <v>6</v>
      </c>
      <c r="AF125" s="3" t="s">
        <v>29</v>
      </c>
      <c r="AG125" s="3">
        <v>8</v>
      </c>
      <c r="AH125" s="18" t="str">
        <f t="shared" si="31"/>
        <v>PAL-SKY-24h-8</v>
      </c>
    </row>
    <row r="126" spans="1:34" x14ac:dyDescent="0.2">
      <c r="A126" s="39">
        <v>123</v>
      </c>
      <c r="AD126" s="17" t="s">
        <v>8</v>
      </c>
      <c r="AE126" s="3" t="s">
        <v>6</v>
      </c>
      <c r="AF126" s="3" t="s">
        <v>29</v>
      </c>
      <c r="AG126" s="3">
        <v>12</v>
      </c>
      <c r="AH126" s="18" t="str">
        <f t="shared" si="31"/>
        <v>PAL-SKY-24h-12</v>
      </c>
    </row>
    <row r="127" spans="1:34" x14ac:dyDescent="0.2">
      <c r="A127" s="39">
        <v>124</v>
      </c>
      <c r="AD127" s="19" t="s">
        <v>8</v>
      </c>
      <c r="AE127" s="20" t="s">
        <v>6</v>
      </c>
      <c r="AF127" s="20" t="s">
        <v>29</v>
      </c>
      <c r="AG127" s="20">
        <v>15</v>
      </c>
      <c r="AH127" s="21" t="str">
        <f t="shared" si="31"/>
        <v>PAL-SKY-24h-15</v>
      </c>
    </row>
    <row r="128" spans="1:34" x14ac:dyDescent="0.2">
      <c r="A128" s="39">
        <v>125</v>
      </c>
      <c r="AD128" s="14" t="s">
        <v>8</v>
      </c>
      <c r="AE128" s="15" t="s">
        <v>4</v>
      </c>
      <c r="AF128" s="15" t="s">
        <v>30</v>
      </c>
      <c r="AG128" s="15">
        <v>1</v>
      </c>
      <c r="AH128" s="16" t="str">
        <f>_xlfn.CONCAT(AD128,"-",AE128,"-",AF128,"-",AG128)</f>
        <v>PAL-ROS-48h-1</v>
      </c>
    </row>
    <row r="129" spans="1:34" x14ac:dyDescent="0.2">
      <c r="A129" s="39">
        <v>126</v>
      </c>
      <c r="AD129" s="17" t="s">
        <v>8</v>
      </c>
      <c r="AE129" s="3" t="s">
        <v>4</v>
      </c>
      <c r="AF129" s="3" t="s">
        <v>30</v>
      </c>
      <c r="AG129" s="3">
        <v>2</v>
      </c>
      <c r="AH129" s="18" t="str">
        <f t="shared" ref="AH129:AH133" si="32">_xlfn.CONCAT(AD129,"-",AE129,"-",AF129,"-",AG129)</f>
        <v>PAL-ROS-48h-2</v>
      </c>
    </row>
    <row r="130" spans="1:34" x14ac:dyDescent="0.2">
      <c r="A130" s="39">
        <v>127</v>
      </c>
      <c r="AD130" s="17" t="s">
        <v>8</v>
      </c>
      <c r="AE130" s="3" t="s">
        <v>4</v>
      </c>
      <c r="AF130" s="3" t="s">
        <v>30</v>
      </c>
      <c r="AG130" s="3">
        <v>3</v>
      </c>
      <c r="AH130" s="18" t="str">
        <f t="shared" si="32"/>
        <v>PAL-ROS-48h-3</v>
      </c>
    </row>
    <row r="131" spans="1:34" x14ac:dyDescent="0.2">
      <c r="A131" s="39">
        <v>128</v>
      </c>
      <c r="AD131" s="17" t="s">
        <v>8</v>
      </c>
      <c r="AE131" s="3" t="s">
        <v>4</v>
      </c>
      <c r="AF131" s="3" t="s">
        <v>30</v>
      </c>
      <c r="AG131" s="3">
        <v>8</v>
      </c>
      <c r="AH131" s="18" t="str">
        <f t="shared" si="32"/>
        <v>PAL-ROS-48h-8</v>
      </c>
    </row>
    <row r="132" spans="1:34" x14ac:dyDescent="0.2">
      <c r="A132" s="39">
        <v>129</v>
      </c>
      <c r="AD132" s="17" t="s">
        <v>8</v>
      </c>
      <c r="AE132" s="3" t="s">
        <v>4</v>
      </c>
      <c r="AF132" s="3" t="s">
        <v>30</v>
      </c>
      <c r="AG132" s="3">
        <v>12</v>
      </c>
      <c r="AH132" s="18" t="str">
        <f t="shared" si="32"/>
        <v>PAL-ROS-48h-12</v>
      </c>
    </row>
    <row r="133" spans="1:34" x14ac:dyDescent="0.2">
      <c r="A133" s="39">
        <v>130</v>
      </c>
      <c r="AD133" s="19" t="s">
        <v>8</v>
      </c>
      <c r="AE133" s="20" t="s">
        <v>4</v>
      </c>
      <c r="AF133" s="20" t="s">
        <v>30</v>
      </c>
      <c r="AG133" s="20">
        <v>15</v>
      </c>
      <c r="AH133" s="21" t="str">
        <f t="shared" si="32"/>
        <v>PAL-ROS-48h-15</v>
      </c>
    </row>
    <row r="134" spans="1:34" x14ac:dyDescent="0.2">
      <c r="A134" s="39">
        <v>131</v>
      </c>
      <c r="AD134" s="14" t="s">
        <v>8</v>
      </c>
      <c r="AE134" s="15" t="s">
        <v>6</v>
      </c>
      <c r="AF134" s="15" t="s">
        <v>30</v>
      </c>
      <c r="AG134" s="15">
        <v>1</v>
      </c>
      <c r="AH134" s="16" t="str">
        <f>_xlfn.CONCAT(AD134,"-",AE134,"-",AF134,"-",AG134)</f>
        <v>PAL-SKY-48h-1</v>
      </c>
    </row>
    <row r="135" spans="1:34" x14ac:dyDescent="0.2">
      <c r="A135" s="39">
        <v>132</v>
      </c>
      <c r="AD135" s="17" t="s">
        <v>8</v>
      </c>
      <c r="AE135" s="3" t="s">
        <v>6</v>
      </c>
      <c r="AF135" s="3" t="s">
        <v>30</v>
      </c>
      <c r="AG135" s="3">
        <v>2</v>
      </c>
      <c r="AH135" s="18" t="str">
        <f t="shared" ref="AH135:AH139" si="33">_xlfn.CONCAT(AD135,"-",AE135,"-",AF135,"-",AG135)</f>
        <v>PAL-SKY-48h-2</v>
      </c>
    </row>
    <row r="136" spans="1:34" x14ac:dyDescent="0.2">
      <c r="A136" s="39">
        <v>133</v>
      </c>
      <c r="AD136" s="17" t="s">
        <v>8</v>
      </c>
      <c r="AE136" s="3" t="s">
        <v>6</v>
      </c>
      <c r="AF136" s="3" t="s">
        <v>30</v>
      </c>
      <c r="AG136" s="3">
        <v>3</v>
      </c>
      <c r="AH136" s="18" t="str">
        <f t="shared" si="33"/>
        <v>PAL-SKY-48h-3</v>
      </c>
    </row>
    <row r="137" spans="1:34" x14ac:dyDescent="0.2">
      <c r="A137" s="39">
        <v>134</v>
      </c>
      <c r="AD137" s="17" t="s">
        <v>8</v>
      </c>
      <c r="AE137" s="3" t="s">
        <v>6</v>
      </c>
      <c r="AF137" s="3" t="s">
        <v>30</v>
      </c>
      <c r="AG137" s="3">
        <v>8</v>
      </c>
      <c r="AH137" s="18" t="str">
        <f t="shared" si="33"/>
        <v>PAL-SKY-48h-8</v>
      </c>
    </row>
    <row r="138" spans="1:34" x14ac:dyDescent="0.2">
      <c r="A138" s="39">
        <v>135</v>
      </c>
      <c r="AD138" s="17" t="s">
        <v>8</v>
      </c>
      <c r="AE138" s="3" t="s">
        <v>6</v>
      </c>
      <c r="AF138" s="3" t="s">
        <v>30</v>
      </c>
      <c r="AG138" s="3">
        <v>12</v>
      </c>
      <c r="AH138" s="18" t="str">
        <f t="shared" si="33"/>
        <v>PAL-SKY-48h-12</v>
      </c>
    </row>
    <row r="139" spans="1:34" x14ac:dyDescent="0.2">
      <c r="A139" s="39">
        <v>136</v>
      </c>
      <c r="AD139" s="17" t="s">
        <v>8</v>
      </c>
      <c r="AE139" s="3" t="s">
        <v>6</v>
      </c>
      <c r="AF139" s="3" t="s">
        <v>30</v>
      </c>
      <c r="AG139" s="3">
        <v>15</v>
      </c>
      <c r="AH139" s="18" t="str">
        <f t="shared" si="33"/>
        <v>PAL-SKY-48h-15</v>
      </c>
    </row>
    <row r="140" spans="1:34" x14ac:dyDescent="0.2">
      <c r="A140" s="39">
        <v>137</v>
      </c>
      <c r="AD140" s="14" t="s">
        <v>8</v>
      </c>
      <c r="AE140" s="15" t="s">
        <v>32</v>
      </c>
      <c r="AF140" s="15"/>
      <c r="AG140" s="15" t="s">
        <v>33</v>
      </c>
      <c r="AH140" s="16" t="str">
        <f t="shared" ref="AH140:AH141" si="34">_xlfn.CONCAT(AD140,"-",AE140,"-",AF140,"-",AG140)</f>
        <v>PAL-BLANK--A</v>
      </c>
    </row>
    <row r="141" spans="1:34" x14ac:dyDescent="0.2">
      <c r="A141" s="39">
        <v>138</v>
      </c>
      <c r="AD141" s="19" t="s">
        <v>8</v>
      </c>
      <c r="AE141" s="20" t="s">
        <v>32</v>
      </c>
      <c r="AF141" s="20"/>
      <c r="AG141" s="20" t="s">
        <v>34</v>
      </c>
      <c r="AH141" s="21" t="str">
        <f t="shared" si="34"/>
        <v>PAL-BLANK--B</v>
      </c>
    </row>
    <row r="142" spans="1:34" x14ac:dyDescent="0.2">
      <c r="A142" s="39">
        <v>139</v>
      </c>
      <c r="AD142" s="17" t="s">
        <v>8</v>
      </c>
      <c r="AE142" s="3" t="s">
        <v>46</v>
      </c>
      <c r="AF142" s="3"/>
      <c r="AG142" s="3" t="s">
        <v>33</v>
      </c>
      <c r="AH142" s="18" t="str">
        <f t="shared" ref="AH142:AH143" si="35">_xlfn.CONCAT(AD142,"-",AE142,"-",AF142,"-",AG142)</f>
        <v>PAL-AMBIENT--A</v>
      </c>
    </row>
    <row r="143" spans="1:34" x14ac:dyDescent="0.2">
      <c r="A143" s="39">
        <v>140</v>
      </c>
      <c r="AD143" s="19" t="s">
        <v>8</v>
      </c>
      <c r="AE143" s="20" t="s">
        <v>46</v>
      </c>
      <c r="AF143" s="20"/>
      <c r="AG143" s="20" t="s">
        <v>34</v>
      </c>
      <c r="AH143" s="21" t="str">
        <f t="shared" si="35"/>
        <v>PAL-AMBIENT--B</v>
      </c>
    </row>
    <row r="144" spans="1:34" x14ac:dyDescent="0.2">
      <c r="A144" s="39">
        <v>141</v>
      </c>
      <c r="AD144" s="25" t="s">
        <v>7</v>
      </c>
      <c r="AE144" s="4" t="s">
        <v>4</v>
      </c>
      <c r="AF144" s="4" t="s">
        <v>26</v>
      </c>
      <c r="AG144" s="4">
        <v>1</v>
      </c>
      <c r="AH144" s="26" t="str">
        <f>_xlfn.CONCAT(AD144,"-",AE144,"-",AF144,"-",AG144)</f>
        <v>LOM-ROS-pre-1</v>
      </c>
    </row>
    <row r="145" spans="1:34" x14ac:dyDescent="0.2">
      <c r="A145" s="39">
        <v>142</v>
      </c>
      <c r="AD145" s="25" t="s">
        <v>7</v>
      </c>
      <c r="AE145" s="4" t="s">
        <v>4</v>
      </c>
      <c r="AF145" s="4" t="s">
        <v>26</v>
      </c>
      <c r="AG145" s="4">
        <v>2</v>
      </c>
      <c r="AH145" s="26" t="str">
        <f t="shared" ref="AH145:AH149" si="36">_xlfn.CONCAT(AD145,"-",AE145,"-",AF145,"-",AG145)</f>
        <v>LOM-ROS-pre-2</v>
      </c>
    </row>
    <row r="146" spans="1:34" x14ac:dyDescent="0.2">
      <c r="A146" s="39">
        <v>143</v>
      </c>
      <c r="AD146" s="25" t="s">
        <v>7</v>
      </c>
      <c r="AE146" s="4" t="s">
        <v>4</v>
      </c>
      <c r="AF146" s="4" t="s">
        <v>26</v>
      </c>
      <c r="AG146" s="4">
        <v>3</v>
      </c>
      <c r="AH146" s="26" t="str">
        <f t="shared" si="36"/>
        <v>LOM-ROS-pre-3</v>
      </c>
    </row>
    <row r="147" spans="1:34" x14ac:dyDescent="0.2">
      <c r="A147" s="39">
        <v>144</v>
      </c>
      <c r="AD147" s="25" t="s">
        <v>7</v>
      </c>
      <c r="AE147" s="4" t="s">
        <v>4</v>
      </c>
      <c r="AF147" s="4" t="s">
        <v>26</v>
      </c>
      <c r="AG147" s="4">
        <v>8</v>
      </c>
      <c r="AH147" s="26" t="str">
        <f t="shared" si="36"/>
        <v>LOM-ROS-pre-8</v>
      </c>
    </row>
    <row r="148" spans="1:34" x14ac:dyDescent="0.2">
      <c r="A148" s="39">
        <v>145</v>
      </c>
      <c r="AD148" s="25" t="s">
        <v>7</v>
      </c>
      <c r="AE148" s="4" t="s">
        <v>4</v>
      </c>
      <c r="AF148" s="4" t="s">
        <v>26</v>
      </c>
      <c r="AG148" s="4">
        <v>12</v>
      </c>
      <c r="AH148" s="26" t="str">
        <f t="shared" si="36"/>
        <v>LOM-ROS-pre-12</v>
      </c>
    </row>
    <row r="149" spans="1:34" x14ac:dyDescent="0.2">
      <c r="A149" s="39">
        <v>146</v>
      </c>
      <c r="AD149" s="27" t="s">
        <v>7</v>
      </c>
      <c r="AE149" s="28" t="s">
        <v>4</v>
      </c>
      <c r="AF149" s="28" t="s">
        <v>26</v>
      </c>
      <c r="AG149" s="28">
        <v>15</v>
      </c>
      <c r="AH149" s="29" t="str">
        <f t="shared" si="36"/>
        <v>LOM-ROS-pre-15</v>
      </c>
    </row>
    <row r="150" spans="1:34" x14ac:dyDescent="0.2">
      <c r="A150" s="39">
        <v>147</v>
      </c>
      <c r="AD150" s="22" t="s">
        <v>7</v>
      </c>
      <c r="AE150" s="23" t="s">
        <v>6</v>
      </c>
      <c r="AF150" s="23" t="s">
        <v>26</v>
      </c>
      <c r="AG150" s="23">
        <v>1</v>
      </c>
      <c r="AH150" s="24" t="str">
        <f t="shared" ref="AH150:AH181" si="37">_xlfn.CONCAT(AD150,"-",AE150,"-",AF150,"-",AG150)</f>
        <v>LOM-SKY-pre-1</v>
      </c>
    </row>
    <row r="151" spans="1:34" x14ac:dyDescent="0.2">
      <c r="A151" s="39">
        <v>148</v>
      </c>
      <c r="AD151" s="25" t="s">
        <v>7</v>
      </c>
      <c r="AE151" s="4" t="s">
        <v>6</v>
      </c>
      <c r="AF151" s="4" t="s">
        <v>26</v>
      </c>
      <c r="AG151" s="4">
        <v>2</v>
      </c>
      <c r="AH151" s="26" t="str">
        <f t="shared" si="37"/>
        <v>LOM-SKY-pre-2</v>
      </c>
    </row>
    <row r="152" spans="1:34" x14ac:dyDescent="0.2">
      <c r="A152" s="39">
        <v>149</v>
      </c>
      <c r="AD152" s="25" t="s">
        <v>7</v>
      </c>
      <c r="AE152" s="4" t="s">
        <v>6</v>
      </c>
      <c r="AF152" s="4" t="s">
        <v>26</v>
      </c>
      <c r="AG152" s="4">
        <v>3</v>
      </c>
      <c r="AH152" s="26" t="str">
        <f t="shared" si="37"/>
        <v>LOM-SKY-pre-3</v>
      </c>
    </row>
    <row r="153" spans="1:34" x14ac:dyDescent="0.2">
      <c r="A153" s="39">
        <v>150</v>
      </c>
      <c r="AD153" s="25" t="s">
        <v>7</v>
      </c>
      <c r="AE153" s="4" t="s">
        <v>6</v>
      </c>
      <c r="AF153" s="4" t="s">
        <v>26</v>
      </c>
      <c r="AG153" s="4">
        <v>8</v>
      </c>
      <c r="AH153" s="26" t="str">
        <f t="shared" si="37"/>
        <v>LOM-SKY-pre-8</v>
      </c>
    </row>
    <row r="154" spans="1:34" x14ac:dyDescent="0.2">
      <c r="A154" s="39">
        <v>151</v>
      </c>
      <c r="AD154" s="25" t="s">
        <v>7</v>
      </c>
      <c r="AE154" s="4" t="s">
        <v>6</v>
      </c>
      <c r="AF154" s="4" t="s">
        <v>26</v>
      </c>
      <c r="AG154" s="4">
        <v>12</v>
      </c>
      <c r="AH154" s="26" t="str">
        <f t="shared" si="37"/>
        <v>LOM-SKY-pre-12</v>
      </c>
    </row>
    <row r="155" spans="1:34" x14ac:dyDescent="0.2">
      <c r="A155" s="39">
        <v>152</v>
      </c>
      <c r="AD155" s="27" t="s">
        <v>7</v>
      </c>
      <c r="AE155" s="28" t="s">
        <v>6</v>
      </c>
      <c r="AF155" s="28" t="s">
        <v>26</v>
      </c>
      <c r="AG155" s="28">
        <v>15</v>
      </c>
      <c r="AH155" s="29" t="str">
        <f t="shared" si="37"/>
        <v>LOM-SKY-pre-15</v>
      </c>
    </row>
    <row r="156" spans="1:34" x14ac:dyDescent="0.2">
      <c r="A156" s="39">
        <v>153</v>
      </c>
      <c r="AD156" s="22" t="s">
        <v>7</v>
      </c>
      <c r="AE156" s="23" t="s">
        <v>4</v>
      </c>
      <c r="AF156" s="23" t="s">
        <v>27</v>
      </c>
      <c r="AG156" s="23">
        <v>1</v>
      </c>
      <c r="AH156" s="24" t="str">
        <f t="shared" si="37"/>
        <v>LOM-ROS-1h-1</v>
      </c>
    </row>
    <row r="157" spans="1:34" x14ac:dyDescent="0.2">
      <c r="A157" s="39">
        <v>154</v>
      </c>
      <c r="AD157" s="25" t="s">
        <v>7</v>
      </c>
      <c r="AE157" s="4" t="s">
        <v>4</v>
      </c>
      <c r="AF157" s="4" t="s">
        <v>27</v>
      </c>
      <c r="AG157" s="4">
        <v>2</v>
      </c>
      <c r="AH157" s="26" t="str">
        <f t="shared" si="37"/>
        <v>LOM-ROS-1h-2</v>
      </c>
    </row>
    <row r="158" spans="1:34" x14ac:dyDescent="0.2">
      <c r="A158" s="39">
        <v>155</v>
      </c>
      <c r="AD158" s="25" t="s">
        <v>7</v>
      </c>
      <c r="AE158" s="4" t="s">
        <v>4</v>
      </c>
      <c r="AF158" s="4" t="s">
        <v>27</v>
      </c>
      <c r="AG158" s="4">
        <v>3</v>
      </c>
      <c r="AH158" s="26" t="str">
        <f t="shared" si="37"/>
        <v>LOM-ROS-1h-3</v>
      </c>
    </row>
    <row r="159" spans="1:34" x14ac:dyDescent="0.2">
      <c r="A159" s="39">
        <v>156</v>
      </c>
      <c r="AD159" s="25" t="s">
        <v>7</v>
      </c>
      <c r="AE159" s="4" t="s">
        <v>4</v>
      </c>
      <c r="AF159" s="4" t="s">
        <v>27</v>
      </c>
      <c r="AG159" s="4">
        <v>8</v>
      </c>
      <c r="AH159" s="26" t="str">
        <f t="shared" si="37"/>
        <v>LOM-ROS-1h-8</v>
      </c>
    </row>
    <row r="160" spans="1:34" x14ac:dyDescent="0.2">
      <c r="A160" s="39">
        <v>157</v>
      </c>
      <c r="AD160" s="25" t="s">
        <v>7</v>
      </c>
      <c r="AE160" s="4" t="s">
        <v>4</v>
      </c>
      <c r="AF160" s="4" t="s">
        <v>27</v>
      </c>
      <c r="AG160" s="4">
        <v>12</v>
      </c>
      <c r="AH160" s="26" t="str">
        <f t="shared" si="37"/>
        <v>LOM-ROS-1h-12</v>
      </c>
    </row>
    <row r="161" spans="1:34" x14ac:dyDescent="0.2">
      <c r="A161" s="39">
        <v>158</v>
      </c>
      <c r="AD161" s="27" t="s">
        <v>7</v>
      </c>
      <c r="AE161" s="28" t="s">
        <v>4</v>
      </c>
      <c r="AF161" s="28" t="s">
        <v>27</v>
      </c>
      <c r="AG161" s="28">
        <v>15</v>
      </c>
      <c r="AH161" s="29" t="str">
        <f t="shared" si="37"/>
        <v>LOM-ROS-1h-15</v>
      </c>
    </row>
    <row r="162" spans="1:34" x14ac:dyDescent="0.2">
      <c r="A162" s="39">
        <v>159</v>
      </c>
      <c r="AD162" s="22" t="s">
        <v>7</v>
      </c>
      <c r="AE162" s="23" t="s">
        <v>6</v>
      </c>
      <c r="AF162" s="23" t="s">
        <v>27</v>
      </c>
      <c r="AG162" s="23">
        <v>1</v>
      </c>
      <c r="AH162" s="24" t="str">
        <f t="shared" si="37"/>
        <v>LOM-SKY-1h-1</v>
      </c>
    </row>
    <row r="163" spans="1:34" x14ac:dyDescent="0.2">
      <c r="A163" s="39">
        <v>160</v>
      </c>
      <c r="AD163" s="25" t="s">
        <v>7</v>
      </c>
      <c r="AE163" s="4" t="s">
        <v>6</v>
      </c>
      <c r="AF163" s="4" t="s">
        <v>27</v>
      </c>
      <c r="AG163" s="4">
        <v>2</v>
      </c>
      <c r="AH163" s="26" t="str">
        <f t="shared" si="37"/>
        <v>LOM-SKY-1h-2</v>
      </c>
    </row>
    <row r="164" spans="1:34" x14ac:dyDescent="0.2">
      <c r="A164" s="39">
        <v>161</v>
      </c>
      <c r="AD164" s="25" t="s">
        <v>7</v>
      </c>
      <c r="AE164" s="4" t="s">
        <v>6</v>
      </c>
      <c r="AF164" s="4" t="s">
        <v>27</v>
      </c>
      <c r="AG164" s="4">
        <v>3</v>
      </c>
      <c r="AH164" s="26" t="str">
        <f t="shared" si="37"/>
        <v>LOM-SKY-1h-3</v>
      </c>
    </row>
    <row r="165" spans="1:34" x14ac:dyDescent="0.2">
      <c r="A165" s="39">
        <v>162</v>
      </c>
      <c r="AD165" s="25" t="s">
        <v>7</v>
      </c>
      <c r="AE165" s="4" t="s">
        <v>6</v>
      </c>
      <c r="AF165" s="4" t="s">
        <v>27</v>
      </c>
      <c r="AG165" s="4">
        <v>8</v>
      </c>
      <c r="AH165" s="26" t="str">
        <f t="shared" si="37"/>
        <v>LOM-SKY-1h-8</v>
      </c>
    </row>
    <row r="166" spans="1:34" x14ac:dyDescent="0.2">
      <c r="A166" s="39">
        <v>163</v>
      </c>
      <c r="AD166" s="25" t="s">
        <v>7</v>
      </c>
      <c r="AE166" s="4" t="s">
        <v>6</v>
      </c>
      <c r="AF166" s="4" t="s">
        <v>27</v>
      </c>
      <c r="AG166" s="4">
        <v>12</v>
      </c>
      <c r="AH166" s="26" t="str">
        <f t="shared" si="37"/>
        <v>LOM-SKY-1h-12</v>
      </c>
    </row>
    <row r="167" spans="1:34" x14ac:dyDescent="0.2">
      <c r="A167" s="39">
        <v>164</v>
      </c>
      <c r="AD167" s="27" t="s">
        <v>7</v>
      </c>
      <c r="AE167" s="28" t="s">
        <v>6</v>
      </c>
      <c r="AF167" s="28" t="s">
        <v>27</v>
      </c>
      <c r="AG167" s="28">
        <v>15</v>
      </c>
      <c r="AH167" s="29" t="str">
        <f t="shared" si="37"/>
        <v>LOM-SKY-1h-15</v>
      </c>
    </row>
    <row r="168" spans="1:34" x14ac:dyDescent="0.2">
      <c r="A168" s="39">
        <v>165</v>
      </c>
      <c r="AD168" s="22" t="s">
        <v>7</v>
      </c>
      <c r="AE168" s="23" t="s">
        <v>4</v>
      </c>
      <c r="AF168" s="23" t="s">
        <v>28</v>
      </c>
      <c r="AG168" s="23">
        <v>1</v>
      </c>
      <c r="AH168" s="24" t="str">
        <f t="shared" si="37"/>
        <v>LOM-ROS-6h-1</v>
      </c>
    </row>
    <row r="169" spans="1:34" x14ac:dyDescent="0.2">
      <c r="A169" s="39">
        <v>166</v>
      </c>
      <c r="AD169" s="25" t="s">
        <v>7</v>
      </c>
      <c r="AE169" s="4" t="s">
        <v>4</v>
      </c>
      <c r="AF169" s="4" t="s">
        <v>28</v>
      </c>
      <c r="AG169" s="4">
        <v>2</v>
      </c>
      <c r="AH169" s="26" t="str">
        <f t="shared" si="37"/>
        <v>LOM-ROS-6h-2</v>
      </c>
    </row>
    <row r="170" spans="1:34" x14ac:dyDescent="0.2">
      <c r="A170" s="39">
        <v>167</v>
      </c>
      <c r="AD170" s="25" t="s">
        <v>7</v>
      </c>
      <c r="AE170" s="4" t="s">
        <v>4</v>
      </c>
      <c r="AF170" s="4" t="s">
        <v>28</v>
      </c>
      <c r="AG170" s="4">
        <v>3</v>
      </c>
      <c r="AH170" s="26" t="str">
        <f t="shared" si="37"/>
        <v>LOM-ROS-6h-3</v>
      </c>
    </row>
    <row r="171" spans="1:34" x14ac:dyDescent="0.2">
      <c r="A171" s="39">
        <v>168</v>
      </c>
      <c r="AD171" s="25" t="s">
        <v>7</v>
      </c>
      <c r="AE171" s="4" t="s">
        <v>4</v>
      </c>
      <c r="AF171" s="4" t="s">
        <v>28</v>
      </c>
      <c r="AG171" s="4">
        <v>8</v>
      </c>
      <c r="AH171" s="26" t="str">
        <f t="shared" si="37"/>
        <v>LOM-ROS-6h-8</v>
      </c>
    </row>
    <row r="172" spans="1:34" x14ac:dyDescent="0.2">
      <c r="A172" s="39">
        <v>169</v>
      </c>
      <c r="AD172" s="25" t="s">
        <v>7</v>
      </c>
      <c r="AE172" s="4" t="s">
        <v>4</v>
      </c>
      <c r="AF172" s="4" t="s">
        <v>28</v>
      </c>
      <c r="AG172" s="4">
        <v>12</v>
      </c>
      <c r="AH172" s="26" t="str">
        <f t="shared" si="37"/>
        <v>LOM-ROS-6h-12</v>
      </c>
    </row>
    <row r="173" spans="1:34" x14ac:dyDescent="0.2">
      <c r="A173" s="39">
        <v>170</v>
      </c>
      <c r="AD173" s="27" t="s">
        <v>7</v>
      </c>
      <c r="AE173" s="28" t="s">
        <v>4</v>
      </c>
      <c r="AF173" s="28" t="s">
        <v>28</v>
      </c>
      <c r="AG173" s="28">
        <v>15</v>
      </c>
      <c r="AH173" s="29" t="str">
        <f t="shared" si="37"/>
        <v>LOM-ROS-6h-15</v>
      </c>
    </row>
    <row r="174" spans="1:34" x14ac:dyDescent="0.2">
      <c r="A174" s="39">
        <v>171</v>
      </c>
      <c r="AD174" s="22" t="s">
        <v>7</v>
      </c>
      <c r="AE174" s="23" t="s">
        <v>6</v>
      </c>
      <c r="AF174" s="23" t="s">
        <v>28</v>
      </c>
      <c r="AG174" s="23">
        <v>1</v>
      </c>
      <c r="AH174" s="24" t="str">
        <f t="shared" si="37"/>
        <v>LOM-SKY-6h-1</v>
      </c>
    </row>
    <row r="175" spans="1:34" x14ac:dyDescent="0.2">
      <c r="A175" s="39">
        <v>172</v>
      </c>
      <c r="AD175" s="25" t="s">
        <v>7</v>
      </c>
      <c r="AE175" s="4" t="s">
        <v>6</v>
      </c>
      <c r="AF175" s="4" t="s">
        <v>28</v>
      </c>
      <c r="AG175" s="4">
        <v>2</v>
      </c>
      <c r="AH175" s="26" t="str">
        <f t="shared" si="37"/>
        <v>LOM-SKY-6h-2</v>
      </c>
    </row>
    <row r="176" spans="1:34" x14ac:dyDescent="0.2">
      <c r="A176" s="39">
        <v>173</v>
      </c>
      <c r="AD176" s="25" t="s">
        <v>7</v>
      </c>
      <c r="AE176" s="4" t="s">
        <v>6</v>
      </c>
      <c r="AF176" s="4" t="s">
        <v>28</v>
      </c>
      <c r="AG176" s="4">
        <v>3</v>
      </c>
      <c r="AH176" s="26" t="str">
        <f t="shared" si="37"/>
        <v>LOM-SKY-6h-3</v>
      </c>
    </row>
    <row r="177" spans="1:34" x14ac:dyDescent="0.2">
      <c r="A177" s="39">
        <v>174</v>
      </c>
      <c r="AD177" s="25" t="s">
        <v>7</v>
      </c>
      <c r="AE177" s="4" t="s">
        <v>6</v>
      </c>
      <c r="AF177" s="4" t="s">
        <v>28</v>
      </c>
      <c r="AG177" s="4">
        <v>8</v>
      </c>
      <c r="AH177" s="26" t="str">
        <f t="shared" si="37"/>
        <v>LOM-SKY-6h-8</v>
      </c>
    </row>
    <row r="178" spans="1:34" x14ac:dyDescent="0.2">
      <c r="A178" s="39">
        <v>175</v>
      </c>
      <c r="AD178" s="25" t="s">
        <v>7</v>
      </c>
      <c r="AE178" s="4" t="s">
        <v>6</v>
      </c>
      <c r="AF178" s="4" t="s">
        <v>28</v>
      </c>
      <c r="AG178" s="4">
        <v>12</v>
      </c>
      <c r="AH178" s="26" t="str">
        <f t="shared" si="37"/>
        <v>LOM-SKY-6h-12</v>
      </c>
    </row>
    <row r="179" spans="1:34" x14ac:dyDescent="0.2">
      <c r="A179" s="39">
        <v>176</v>
      </c>
      <c r="AD179" s="27" t="s">
        <v>7</v>
      </c>
      <c r="AE179" s="28" t="s">
        <v>6</v>
      </c>
      <c r="AF179" s="28" t="s">
        <v>28</v>
      </c>
      <c r="AG179" s="28">
        <v>15</v>
      </c>
      <c r="AH179" s="29" t="str">
        <f t="shared" si="37"/>
        <v>LOM-SKY-6h-15</v>
      </c>
    </row>
    <row r="180" spans="1:34" x14ac:dyDescent="0.2">
      <c r="A180" s="39">
        <v>177</v>
      </c>
      <c r="AD180" s="22" t="s">
        <v>7</v>
      </c>
      <c r="AE180" s="23" t="s">
        <v>4</v>
      </c>
      <c r="AF180" s="23" t="s">
        <v>29</v>
      </c>
      <c r="AG180" s="23">
        <v>1</v>
      </c>
      <c r="AH180" s="24" t="str">
        <f t="shared" si="37"/>
        <v>LOM-ROS-24h-1</v>
      </c>
    </row>
    <row r="181" spans="1:34" x14ac:dyDescent="0.2">
      <c r="A181" s="39">
        <v>178</v>
      </c>
      <c r="AD181" s="25" t="s">
        <v>7</v>
      </c>
      <c r="AE181" s="4" t="s">
        <v>4</v>
      </c>
      <c r="AF181" s="4" t="s">
        <v>29</v>
      </c>
      <c r="AG181" s="4">
        <v>2</v>
      </c>
      <c r="AH181" s="26" t="str">
        <f t="shared" si="37"/>
        <v>LOM-ROS-24h-2</v>
      </c>
    </row>
    <row r="182" spans="1:34" x14ac:dyDescent="0.2">
      <c r="A182" s="39">
        <v>179</v>
      </c>
      <c r="AD182" s="25" t="s">
        <v>7</v>
      </c>
      <c r="AE182" s="4" t="s">
        <v>4</v>
      </c>
      <c r="AF182" s="4" t="s">
        <v>29</v>
      </c>
      <c r="AG182" s="4">
        <v>3</v>
      </c>
      <c r="AH182" s="26" t="str">
        <f t="shared" ref="AH182:AH207" si="38">_xlfn.CONCAT(AD182,"-",AE182,"-",AF182,"-",AG182)</f>
        <v>LOM-ROS-24h-3</v>
      </c>
    </row>
    <row r="183" spans="1:34" x14ac:dyDescent="0.2">
      <c r="A183" s="39">
        <v>180</v>
      </c>
      <c r="AD183" s="25" t="s">
        <v>7</v>
      </c>
      <c r="AE183" s="4" t="s">
        <v>4</v>
      </c>
      <c r="AF183" s="4" t="s">
        <v>29</v>
      </c>
      <c r="AG183" s="4">
        <v>8</v>
      </c>
      <c r="AH183" s="26" t="str">
        <f t="shared" si="38"/>
        <v>LOM-ROS-24h-8</v>
      </c>
    </row>
    <row r="184" spans="1:34" x14ac:dyDescent="0.2">
      <c r="A184" s="39">
        <v>181</v>
      </c>
      <c r="AD184" s="25" t="s">
        <v>7</v>
      </c>
      <c r="AE184" s="4" t="s">
        <v>4</v>
      </c>
      <c r="AF184" s="4" t="s">
        <v>29</v>
      </c>
      <c r="AG184" s="4">
        <v>12</v>
      </c>
      <c r="AH184" s="26" t="str">
        <f t="shared" si="38"/>
        <v>LOM-ROS-24h-12</v>
      </c>
    </row>
    <row r="185" spans="1:34" x14ac:dyDescent="0.2">
      <c r="A185" s="39">
        <v>182</v>
      </c>
      <c r="AD185" s="27" t="s">
        <v>7</v>
      </c>
      <c r="AE185" s="28" t="s">
        <v>4</v>
      </c>
      <c r="AF185" s="28" t="s">
        <v>29</v>
      </c>
      <c r="AG185" s="28">
        <v>15</v>
      </c>
      <c r="AH185" s="29" t="str">
        <f t="shared" si="38"/>
        <v>LOM-ROS-24h-15</v>
      </c>
    </row>
    <row r="186" spans="1:34" x14ac:dyDescent="0.2">
      <c r="A186" s="39">
        <v>183</v>
      </c>
      <c r="AD186" s="22" t="s">
        <v>7</v>
      </c>
      <c r="AE186" s="23" t="s">
        <v>6</v>
      </c>
      <c r="AF186" s="23" t="s">
        <v>29</v>
      </c>
      <c r="AG186" s="23">
        <v>1</v>
      </c>
      <c r="AH186" s="24" t="str">
        <f t="shared" si="38"/>
        <v>LOM-SKY-24h-1</v>
      </c>
    </row>
    <row r="187" spans="1:34" x14ac:dyDescent="0.2">
      <c r="A187" s="39">
        <v>184</v>
      </c>
      <c r="AD187" s="25" t="s">
        <v>7</v>
      </c>
      <c r="AE187" s="4" t="s">
        <v>6</v>
      </c>
      <c r="AF187" s="4" t="s">
        <v>29</v>
      </c>
      <c r="AG187" s="4">
        <v>2</v>
      </c>
      <c r="AH187" s="26" t="str">
        <f t="shared" si="38"/>
        <v>LOM-SKY-24h-2</v>
      </c>
    </row>
    <row r="188" spans="1:34" x14ac:dyDescent="0.2">
      <c r="A188" s="39">
        <v>185</v>
      </c>
      <c r="AD188" s="25" t="s">
        <v>7</v>
      </c>
      <c r="AE188" s="4" t="s">
        <v>6</v>
      </c>
      <c r="AF188" s="4" t="s">
        <v>29</v>
      </c>
      <c r="AG188" s="4">
        <v>3</v>
      </c>
      <c r="AH188" s="26" t="str">
        <f t="shared" si="38"/>
        <v>LOM-SKY-24h-3</v>
      </c>
    </row>
    <row r="189" spans="1:34" x14ac:dyDescent="0.2">
      <c r="A189" s="39">
        <v>186</v>
      </c>
      <c r="AD189" s="25" t="s">
        <v>7</v>
      </c>
      <c r="AE189" s="4" t="s">
        <v>6</v>
      </c>
      <c r="AF189" s="4" t="s">
        <v>29</v>
      </c>
      <c r="AG189" s="4">
        <v>8</v>
      </c>
      <c r="AH189" s="26" t="str">
        <f t="shared" si="38"/>
        <v>LOM-SKY-24h-8</v>
      </c>
    </row>
    <row r="190" spans="1:34" x14ac:dyDescent="0.2">
      <c r="A190" s="39">
        <v>187</v>
      </c>
      <c r="AD190" s="25" t="s">
        <v>7</v>
      </c>
      <c r="AE190" s="4" t="s">
        <v>6</v>
      </c>
      <c r="AF190" s="4" t="s">
        <v>29</v>
      </c>
      <c r="AG190" s="4">
        <v>12</v>
      </c>
      <c r="AH190" s="26" t="str">
        <f t="shared" si="38"/>
        <v>LOM-SKY-24h-12</v>
      </c>
    </row>
    <row r="191" spans="1:34" x14ac:dyDescent="0.2">
      <c r="A191" s="39">
        <v>188</v>
      </c>
      <c r="AD191" s="27" t="s">
        <v>7</v>
      </c>
      <c r="AE191" s="28" t="s">
        <v>6</v>
      </c>
      <c r="AF191" s="28" t="s">
        <v>29</v>
      </c>
      <c r="AG191" s="28">
        <v>15</v>
      </c>
      <c r="AH191" s="29" t="str">
        <f t="shared" si="38"/>
        <v>LOM-SKY-24h-15</v>
      </c>
    </row>
    <row r="192" spans="1:34" x14ac:dyDescent="0.2">
      <c r="A192" s="39">
        <v>189</v>
      </c>
      <c r="AD192" s="22" t="s">
        <v>7</v>
      </c>
      <c r="AE192" s="23" t="s">
        <v>4</v>
      </c>
      <c r="AF192" s="23" t="s">
        <v>30</v>
      </c>
      <c r="AG192" s="23">
        <v>1</v>
      </c>
      <c r="AH192" s="24" t="str">
        <f t="shared" si="38"/>
        <v>LOM-ROS-48h-1</v>
      </c>
    </row>
    <row r="193" spans="1:34" x14ac:dyDescent="0.2">
      <c r="A193" s="39">
        <v>190</v>
      </c>
      <c r="AD193" s="25" t="s">
        <v>7</v>
      </c>
      <c r="AE193" s="4" t="s">
        <v>4</v>
      </c>
      <c r="AF193" s="4" t="s">
        <v>30</v>
      </c>
      <c r="AG193" s="4">
        <v>2</v>
      </c>
      <c r="AH193" s="26" t="str">
        <f t="shared" si="38"/>
        <v>LOM-ROS-48h-2</v>
      </c>
    </row>
    <row r="194" spans="1:34" x14ac:dyDescent="0.2">
      <c r="A194" s="39">
        <v>191</v>
      </c>
      <c r="AD194" s="25" t="s">
        <v>7</v>
      </c>
      <c r="AE194" s="4" t="s">
        <v>4</v>
      </c>
      <c r="AF194" s="4" t="s">
        <v>30</v>
      </c>
      <c r="AG194" s="4">
        <v>3</v>
      </c>
      <c r="AH194" s="26" t="str">
        <f t="shared" si="38"/>
        <v>LOM-ROS-48h-3</v>
      </c>
    </row>
    <row r="195" spans="1:34" x14ac:dyDescent="0.2">
      <c r="A195" s="39">
        <v>192</v>
      </c>
      <c r="AD195" s="25" t="s">
        <v>7</v>
      </c>
      <c r="AE195" s="4" t="s">
        <v>4</v>
      </c>
      <c r="AF195" s="4" t="s">
        <v>30</v>
      </c>
      <c r="AG195" s="4">
        <v>8</v>
      </c>
      <c r="AH195" s="26" t="str">
        <f t="shared" si="38"/>
        <v>LOM-ROS-48h-8</v>
      </c>
    </row>
    <row r="196" spans="1:34" x14ac:dyDescent="0.2">
      <c r="A196" s="39">
        <v>193</v>
      </c>
      <c r="AD196" s="25" t="s">
        <v>7</v>
      </c>
      <c r="AE196" s="4" t="s">
        <v>4</v>
      </c>
      <c r="AF196" s="4" t="s">
        <v>30</v>
      </c>
      <c r="AG196" s="4">
        <v>12</v>
      </c>
      <c r="AH196" s="26" t="str">
        <f t="shared" si="38"/>
        <v>LOM-ROS-48h-12</v>
      </c>
    </row>
    <row r="197" spans="1:34" x14ac:dyDescent="0.2">
      <c r="A197" s="39">
        <v>194</v>
      </c>
      <c r="AD197" s="27" t="s">
        <v>7</v>
      </c>
      <c r="AE197" s="28" t="s">
        <v>4</v>
      </c>
      <c r="AF197" s="28" t="s">
        <v>30</v>
      </c>
      <c r="AG197" s="28">
        <v>15</v>
      </c>
      <c r="AH197" s="29" t="str">
        <f t="shared" si="38"/>
        <v>LOM-ROS-48h-15</v>
      </c>
    </row>
    <row r="198" spans="1:34" x14ac:dyDescent="0.2">
      <c r="A198" s="39">
        <v>195</v>
      </c>
      <c r="AD198" s="22" t="s">
        <v>7</v>
      </c>
      <c r="AE198" s="23" t="s">
        <v>6</v>
      </c>
      <c r="AF198" s="23" t="s">
        <v>30</v>
      </c>
      <c r="AG198" s="23">
        <v>1</v>
      </c>
      <c r="AH198" s="24" t="str">
        <f t="shared" si="38"/>
        <v>LOM-SKY-48h-1</v>
      </c>
    </row>
    <row r="199" spans="1:34" x14ac:dyDescent="0.2">
      <c r="A199" s="39">
        <v>196</v>
      </c>
      <c r="AD199" s="25" t="s">
        <v>7</v>
      </c>
      <c r="AE199" s="4" t="s">
        <v>6</v>
      </c>
      <c r="AF199" s="4" t="s">
        <v>30</v>
      </c>
      <c r="AG199" s="4">
        <v>2</v>
      </c>
      <c r="AH199" s="26" t="str">
        <f t="shared" si="38"/>
        <v>LOM-SKY-48h-2</v>
      </c>
    </row>
    <row r="200" spans="1:34" x14ac:dyDescent="0.2">
      <c r="A200" s="39">
        <v>197</v>
      </c>
      <c r="AD200" s="25" t="s">
        <v>7</v>
      </c>
      <c r="AE200" s="4" t="s">
        <v>6</v>
      </c>
      <c r="AF200" s="4" t="s">
        <v>30</v>
      </c>
      <c r="AG200" s="4">
        <v>3</v>
      </c>
      <c r="AH200" s="26" t="str">
        <f t="shared" si="38"/>
        <v>LOM-SKY-48h-3</v>
      </c>
    </row>
    <row r="201" spans="1:34" x14ac:dyDescent="0.2">
      <c r="A201" s="39">
        <v>198</v>
      </c>
      <c r="AD201" s="25" t="s">
        <v>7</v>
      </c>
      <c r="AE201" s="4" t="s">
        <v>6</v>
      </c>
      <c r="AF201" s="4" t="s">
        <v>30</v>
      </c>
      <c r="AG201" s="4">
        <v>8</v>
      </c>
      <c r="AH201" s="26" t="str">
        <f t="shared" si="38"/>
        <v>LOM-SKY-48h-8</v>
      </c>
    </row>
    <row r="202" spans="1:34" x14ac:dyDescent="0.2">
      <c r="A202" s="39">
        <v>199</v>
      </c>
      <c r="AD202" s="25" t="s">
        <v>7</v>
      </c>
      <c r="AE202" s="4" t="s">
        <v>6</v>
      </c>
      <c r="AF202" s="4" t="s">
        <v>30</v>
      </c>
      <c r="AG202" s="4">
        <v>12</v>
      </c>
      <c r="AH202" s="26" t="str">
        <f t="shared" si="38"/>
        <v>LOM-SKY-48h-12</v>
      </c>
    </row>
    <row r="203" spans="1:34" x14ac:dyDescent="0.2">
      <c r="A203" s="39">
        <v>200</v>
      </c>
      <c r="AD203" s="25" t="s">
        <v>7</v>
      </c>
      <c r="AE203" s="4" t="s">
        <v>6</v>
      </c>
      <c r="AF203" s="4" t="s">
        <v>30</v>
      </c>
      <c r="AG203" s="4">
        <v>15</v>
      </c>
      <c r="AH203" s="26" t="str">
        <f t="shared" si="38"/>
        <v>LOM-SKY-48h-15</v>
      </c>
    </row>
    <row r="204" spans="1:34" x14ac:dyDescent="0.2">
      <c r="A204" s="39">
        <v>201</v>
      </c>
      <c r="AD204" s="22" t="s">
        <v>7</v>
      </c>
      <c r="AE204" s="23" t="s">
        <v>32</v>
      </c>
      <c r="AF204" s="23"/>
      <c r="AG204" s="23" t="s">
        <v>33</v>
      </c>
      <c r="AH204" s="24" t="str">
        <f t="shared" si="38"/>
        <v>LOM-BLANK--A</v>
      </c>
    </row>
    <row r="205" spans="1:34" x14ac:dyDescent="0.2">
      <c r="A205" s="39">
        <v>202</v>
      </c>
      <c r="AD205" s="27" t="s">
        <v>7</v>
      </c>
      <c r="AE205" s="28" t="s">
        <v>32</v>
      </c>
      <c r="AF205" s="28"/>
      <c r="AG205" s="28" t="s">
        <v>34</v>
      </c>
      <c r="AH205" s="29" t="str">
        <f t="shared" si="38"/>
        <v>LOM-BLANK--B</v>
      </c>
    </row>
    <row r="206" spans="1:34" x14ac:dyDescent="0.2">
      <c r="A206" s="39">
        <v>203</v>
      </c>
      <c r="AD206" s="25" t="s">
        <v>7</v>
      </c>
      <c r="AE206" s="4" t="s">
        <v>46</v>
      </c>
      <c r="AF206" s="4"/>
      <c r="AG206" s="4" t="s">
        <v>33</v>
      </c>
      <c r="AH206" s="26" t="str">
        <f t="shared" si="38"/>
        <v>LOM-AMBIENT--A</v>
      </c>
    </row>
    <row r="207" spans="1:34" x14ac:dyDescent="0.2">
      <c r="A207" s="39">
        <v>204</v>
      </c>
      <c r="AD207" s="27" t="s">
        <v>7</v>
      </c>
      <c r="AE207" s="28" t="s">
        <v>46</v>
      </c>
      <c r="AF207" s="28"/>
      <c r="AG207" s="28" t="s">
        <v>34</v>
      </c>
      <c r="AH207" s="29" t="str">
        <f t="shared" si="38"/>
        <v>LOM-AMBIENT--B</v>
      </c>
    </row>
  </sheetData>
  <mergeCells count="12">
    <mergeCell ref="AJ1:AM1"/>
    <mergeCell ref="AJ2:AM2"/>
    <mergeCell ref="B2:F2"/>
    <mergeCell ref="B1:F1"/>
    <mergeCell ref="X2:AB2"/>
    <mergeCell ref="X1:AB1"/>
    <mergeCell ref="AD1:AH1"/>
    <mergeCell ref="AD2:AH2"/>
    <mergeCell ref="J2:N2"/>
    <mergeCell ref="J1:N1"/>
    <mergeCell ref="R2:V2"/>
    <mergeCell ref="R1:V1"/>
  </mergeCells>
  <conditionalFormatting sqref="AD1:AD207 AD212:AD1048576">
    <cfRule type="containsText" dxfId="4" priority="1" operator="containsText" text="LOM">
      <formula>NOT(ISERROR(SEARCH("LOM",AD1)))</formula>
    </cfRule>
    <cfRule type="containsText" dxfId="3" priority="2" operator="containsText" text="PAL">
      <formula>NOT(ISERROR(SEARCH("PAL",AD1)))</formula>
    </cfRule>
    <cfRule type="containsText" dxfId="2" priority="3" operator="containsText" text="JCR">
      <formula>NOT(ISERROR(SEARCH("JCR",AD1)))</formula>
    </cfRule>
  </conditionalFormatting>
  <conditionalFormatting sqref="AE1:AE207 AE212:AE1048576">
    <cfRule type="containsText" dxfId="1" priority="4" operator="containsText" text="SKY">
      <formula>NOT(ISERROR(SEARCH("SKY",AE1)))</formula>
    </cfRule>
    <cfRule type="containsText" dxfId="0" priority="5" operator="containsText" text="ROS">
      <formula>NOT(ISERROR(SEARCH("ROS",AE1)))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Caro, Tristan A.</cp:lastModifiedBy>
  <cp:lastPrinted>2025-03-26T19:49:04Z</cp:lastPrinted>
  <dcterms:created xsi:type="dcterms:W3CDTF">2025-01-15T20:49:00Z</dcterms:created>
  <dcterms:modified xsi:type="dcterms:W3CDTF">2025-04-24T23:46:07Z</dcterms:modified>
</cp:coreProperties>
</file>
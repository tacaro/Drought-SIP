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caro/Documents/GitHub/DroughtSIP/data_output/"/>
    </mc:Choice>
  </mc:AlternateContent>
  <xr:revisionPtr revIDLastSave="0" documentId="13_ncr:1_{37097846-2119-4F46-ADE8-6AD41974741C}" xr6:coauthVersionLast="47" xr6:coauthVersionMax="47" xr10:uidLastSave="{00000000-0000-0000-0000-000000000000}"/>
  <bookViews>
    <workbookView xWindow="30240" yWindow="500" windowWidth="38400" windowHeight="21100" xr2:uid="{00000000-000D-0000-FFFF-FFFF00000000}"/>
  </bookViews>
  <sheets>
    <sheet name="MAIN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" l="1"/>
  <c r="F65" i="1"/>
  <c r="F66" i="1"/>
  <c r="F67" i="1"/>
  <c r="F68" i="1"/>
  <c r="F69" i="1"/>
  <c r="F70" i="1"/>
  <c r="F71" i="1"/>
  <c r="F72" i="1"/>
  <c r="F73" i="1"/>
  <c r="F74" i="1"/>
  <c r="F75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4" i="1"/>
</calcChain>
</file>

<file path=xl/sharedStrings.xml><?xml version="1.0" encoding="utf-8"?>
<sst xmlns="http://schemas.openxmlformats.org/spreadsheetml/2006/main" count="1042" uniqueCount="31">
  <si>
    <t>site</t>
  </si>
  <si>
    <t>drought</t>
  </si>
  <si>
    <t>rewet</t>
  </si>
  <si>
    <t>JCR</t>
  </si>
  <si>
    <t>ROS</t>
  </si>
  <si>
    <t>DRY</t>
  </si>
  <si>
    <t>WET</t>
  </si>
  <si>
    <t>SKY</t>
  </si>
  <si>
    <t>LOM</t>
  </si>
  <si>
    <t>PAL</t>
  </si>
  <si>
    <t>Lipid Analyses</t>
  </si>
  <si>
    <t>Metagenomics</t>
  </si>
  <si>
    <t>Metabolomics</t>
  </si>
  <si>
    <t>replicate</t>
  </si>
  <si>
    <t>dt_hr</t>
  </si>
  <si>
    <t>dt_min</t>
  </si>
  <si>
    <t>n</t>
  </si>
  <si>
    <t>CO2/CH4 flux</t>
  </si>
  <si>
    <t>0-10cm soil, homogenized, 5g per tube. If wet, add 0.5% D2O, if dry, see vapor-SIP incubation.</t>
  </si>
  <si>
    <t>0-10cm soil, homogenized, 100 mg per tube</t>
  </si>
  <si>
    <t>15 mL withdrawn using gas-tight syringe, injected into 12mL glass exetainer</t>
  </si>
  <si>
    <t>timepoint</t>
  </si>
  <si>
    <t>before_wetting</t>
  </si>
  <si>
    <t>after_wetting</t>
  </si>
  <si>
    <t>PRE</t>
  </si>
  <si>
    <t>POST</t>
  </si>
  <si>
    <t>Trace Gas Samples</t>
  </si>
  <si>
    <t>sample_id</t>
  </si>
  <si>
    <t>SIP-TYPE</t>
  </si>
  <si>
    <t>VAPOR</t>
  </si>
  <si>
    <t>0-10cm soil, homogenized, 2g soil (dry weight) placed in 50 mL falcon tube, flash frozen. If "pre" sampled before rain. If "post", sampled 72hr after rain.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</si>
</sst>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AEAECA-15D5-1442-BA07-8E5DA39626EC}" name="Table1" displayName="Table1" ref="S3:W147" totalsRowShown="0" headerRowDxfId="4" dataDxfId="3">
  <autoFilter ref="S3:W147" xr:uid="{A1AEAECA-15D5-1442-BA07-8E5DA39626EC}"/>
  <sortState xmlns:xlrd2="http://schemas.microsoft.com/office/spreadsheetml/2017/richdata2" ref="S4:W147">
    <sortCondition ref="T3:T147"/>
  </sortState>
  <tableColumns count="5">
    <tableColumn id="1" xr3:uid="{25B47568-6DF6-0542-B839-72963657750D}" name="site" dataDxfId="2"/>
    <tableColumn id="2" xr3:uid="{8DAD06D4-4DBD-0349-AF26-F2208F8B1209}" name="drought" dataDxfId="1"/>
    <tableColumn id="3" xr3:uid="{9B680BF0-C88C-0043-A4ED-2C02D1353164}" name="rewet" dataDxfId="0"/>
    <tableColumn id="4" xr3:uid="{3F60BBB6-71EB-C649-82BD-AEBBFD20A133}" name="dt_min"/>
    <tableColumn id="5" xr3:uid="{7EC4D00D-2A6F-E947-B947-D20CC05C0E5C}" name="timepoi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7"/>
  <sheetViews>
    <sheetView tabSelected="1" zoomScale="130" zoomScaleNormal="13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D10" sqref="D10"/>
    </sheetView>
  </sheetViews>
  <sheetFormatPr baseColWidth="10" defaultColWidth="8.83203125" defaultRowHeight="15" x14ac:dyDescent="0.2"/>
  <cols>
    <col min="6" max="6" width="21" customWidth="1"/>
    <col min="17" max="17" width="17.1640625" customWidth="1"/>
    <col min="20" max="20" width="9" customWidth="1"/>
    <col min="23" max="23" width="12.83203125" customWidth="1"/>
  </cols>
  <sheetData>
    <row r="1" spans="1:29" x14ac:dyDescent="0.2">
      <c r="B1" s="7" t="s">
        <v>10</v>
      </c>
      <c r="C1" s="7"/>
      <c r="D1" s="7"/>
      <c r="E1" s="7"/>
      <c r="F1" s="7"/>
      <c r="H1" s="7" t="s">
        <v>11</v>
      </c>
      <c r="I1" s="7"/>
      <c r="J1" s="7"/>
      <c r="K1" s="7"/>
      <c r="M1" s="7" t="s">
        <v>12</v>
      </c>
      <c r="N1" s="7"/>
      <c r="O1" s="7"/>
      <c r="P1" s="7"/>
      <c r="Q1" s="7"/>
      <c r="S1" s="7" t="s">
        <v>26</v>
      </c>
      <c r="T1" s="7"/>
      <c r="U1" s="7"/>
      <c r="V1" s="7"/>
      <c r="W1" s="7"/>
      <c r="Y1" s="7" t="s">
        <v>17</v>
      </c>
      <c r="Z1" s="7"/>
      <c r="AA1" s="7"/>
      <c r="AB1" s="7"/>
    </row>
    <row r="2" spans="1:29" ht="52" customHeight="1" x14ac:dyDescent="0.2">
      <c r="B2" s="8" t="s">
        <v>18</v>
      </c>
      <c r="C2" s="8"/>
      <c r="D2" s="8"/>
      <c r="E2" s="8"/>
      <c r="F2" s="8"/>
      <c r="H2" s="8" t="s">
        <v>19</v>
      </c>
      <c r="I2" s="8"/>
      <c r="J2" s="8"/>
      <c r="K2" s="8"/>
      <c r="M2" s="8" t="s">
        <v>30</v>
      </c>
      <c r="N2" s="8"/>
      <c r="O2" s="8"/>
      <c r="P2" s="8"/>
      <c r="Q2" s="8"/>
      <c r="S2" s="8" t="s">
        <v>20</v>
      </c>
      <c r="T2" s="8"/>
      <c r="U2" s="8"/>
      <c r="V2" s="8"/>
      <c r="W2" s="8"/>
      <c r="Y2" s="2"/>
      <c r="Z2" s="2"/>
      <c r="AA2" s="2"/>
      <c r="AB2" s="2"/>
    </row>
    <row r="3" spans="1:29" s="1" customFormat="1" x14ac:dyDescent="0.2">
      <c r="A3" s="1" t="s">
        <v>16</v>
      </c>
      <c r="B3" s="1" t="s">
        <v>0</v>
      </c>
      <c r="C3" s="1" t="s">
        <v>1</v>
      </c>
      <c r="D3" s="1" t="s">
        <v>28</v>
      </c>
      <c r="E3" s="1" t="s">
        <v>14</v>
      </c>
      <c r="F3" s="1" t="s">
        <v>27</v>
      </c>
      <c r="H3" s="1" t="s">
        <v>0</v>
      </c>
      <c r="I3" s="1" t="s">
        <v>1</v>
      </c>
      <c r="J3" s="1" t="s">
        <v>2</v>
      </c>
      <c r="K3" s="1" t="s">
        <v>14</v>
      </c>
      <c r="M3" s="1" t="s">
        <v>0</v>
      </c>
      <c r="N3" s="1" t="s">
        <v>1</v>
      </c>
      <c r="O3" s="1" t="s">
        <v>2</v>
      </c>
      <c r="P3" s="1" t="s">
        <v>13</v>
      </c>
      <c r="Q3" s="1" t="s">
        <v>27</v>
      </c>
      <c r="S3" s="1" t="s">
        <v>0</v>
      </c>
      <c r="T3" s="1" t="s">
        <v>1</v>
      </c>
      <c r="U3" s="1" t="s">
        <v>2</v>
      </c>
      <c r="V3" s="1" t="s">
        <v>15</v>
      </c>
      <c r="W3" s="1" t="s">
        <v>21</v>
      </c>
      <c r="Y3" s="1" t="s">
        <v>0</v>
      </c>
      <c r="Z3" s="1" t="s">
        <v>1</v>
      </c>
      <c r="AA3" s="1" t="s">
        <v>2</v>
      </c>
      <c r="AB3" s="1" t="s">
        <v>14</v>
      </c>
      <c r="AC3" s="1" t="s">
        <v>21</v>
      </c>
    </row>
    <row r="4" spans="1:29" x14ac:dyDescent="0.2">
      <c r="A4">
        <v>1</v>
      </c>
      <c r="B4" s="4" t="s">
        <v>3</v>
      </c>
      <c r="C4" s="4" t="s">
        <v>4</v>
      </c>
      <c r="D4" s="4" t="s">
        <v>6</v>
      </c>
      <c r="E4" s="4">
        <v>0</v>
      </c>
      <c r="F4" s="4" t="str">
        <f>_xlfn.CONCAT("LS","-",B4,"-",C4,"-",D4,"-",E4,"hr")</f>
        <v>LS-JCR-ROS-WET-0hr</v>
      </c>
      <c r="H4" t="s">
        <v>3</v>
      </c>
      <c r="I4" t="s">
        <v>4</v>
      </c>
      <c r="J4" t="s">
        <v>5</v>
      </c>
      <c r="K4">
        <v>0</v>
      </c>
      <c r="M4" s="4" t="s">
        <v>3</v>
      </c>
      <c r="N4" s="4" t="s">
        <v>4</v>
      </c>
      <c r="O4" s="4" t="s">
        <v>24</v>
      </c>
      <c r="P4" s="4">
        <v>1</v>
      </c>
      <c r="Q4" s="4" t="str">
        <f>_xlfn.CONCAT("MB-",M4,"-",N4,"-",O4,"-",P4)</f>
        <v>MB-JCR-ROS-PRE-1</v>
      </c>
      <c r="S4" t="s">
        <v>3</v>
      </c>
      <c r="T4" t="s">
        <v>4</v>
      </c>
      <c r="U4" t="s">
        <v>5</v>
      </c>
      <c r="V4">
        <v>1</v>
      </c>
      <c r="W4" t="s">
        <v>22</v>
      </c>
    </row>
    <row r="5" spans="1:29" x14ac:dyDescent="0.2">
      <c r="A5">
        <v>2</v>
      </c>
      <c r="B5" s="4" t="s">
        <v>3</v>
      </c>
      <c r="C5" s="4" t="s">
        <v>4</v>
      </c>
      <c r="D5" s="4" t="s">
        <v>6</v>
      </c>
      <c r="E5" s="4">
        <v>6</v>
      </c>
      <c r="F5" s="4" t="str">
        <f t="shared" ref="F5:F68" si="0">_xlfn.CONCAT("LS","-",B5,"-",C5,"-",D5,"-",E5,"hr")</f>
        <v>LS-JCR-ROS-WET-6hr</v>
      </c>
      <c r="H5" t="s">
        <v>3</v>
      </c>
      <c r="I5" t="s">
        <v>4</v>
      </c>
      <c r="J5" t="s">
        <v>6</v>
      </c>
      <c r="K5">
        <v>0</v>
      </c>
      <c r="M5" s="4" t="s">
        <v>3</v>
      </c>
      <c r="N5" s="4" t="s">
        <v>4</v>
      </c>
      <c r="O5" s="4" t="s">
        <v>25</v>
      </c>
      <c r="P5" s="4">
        <v>1</v>
      </c>
      <c r="Q5" s="4" t="str">
        <f t="shared" ref="Q5:Q51" si="1">_xlfn.CONCAT("MB-",M5,"-",N5,"-",O5,"-",P5)</f>
        <v>MB-JCR-ROS-POST-1</v>
      </c>
      <c r="S5" t="s">
        <v>3</v>
      </c>
      <c r="T5" t="s">
        <v>4</v>
      </c>
      <c r="U5" t="s">
        <v>6</v>
      </c>
      <c r="V5">
        <v>1</v>
      </c>
      <c r="W5" t="s">
        <v>22</v>
      </c>
    </row>
    <row r="6" spans="1:29" x14ac:dyDescent="0.2">
      <c r="A6">
        <v>3</v>
      </c>
      <c r="B6" s="4" t="s">
        <v>3</v>
      </c>
      <c r="C6" s="4" t="s">
        <v>4</v>
      </c>
      <c r="D6" s="4" t="s">
        <v>6</v>
      </c>
      <c r="E6" s="4">
        <v>12</v>
      </c>
      <c r="F6" s="4" t="str">
        <f t="shared" si="0"/>
        <v>LS-JCR-ROS-WET-12hr</v>
      </c>
      <c r="H6" t="s">
        <v>3</v>
      </c>
      <c r="I6" t="s">
        <v>7</v>
      </c>
      <c r="J6" t="s">
        <v>5</v>
      </c>
      <c r="K6">
        <v>0</v>
      </c>
      <c r="M6" s="4" t="s">
        <v>3</v>
      </c>
      <c r="N6" s="4" t="s">
        <v>7</v>
      </c>
      <c r="O6" s="4" t="s">
        <v>24</v>
      </c>
      <c r="P6" s="4">
        <v>1</v>
      </c>
      <c r="Q6" s="4" t="str">
        <f t="shared" si="1"/>
        <v>MB-JCR-SKY-PRE-1</v>
      </c>
      <c r="S6" s="3" t="s">
        <v>3</v>
      </c>
      <c r="T6" s="3" t="s">
        <v>4</v>
      </c>
      <c r="U6" s="3" t="s">
        <v>5</v>
      </c>
      <c r="V6">
        <v>2</v>
      </c>
      <c r="W6" t="s">
        <v>22</v>
      </c>
    </row>
    <row r="7" spans="1:29" x14ac:dyDescent="0.2">
      <c r="A7">
        <v>4</v>
      </c>
      <c r="B7" s="4" t="s">
        <v>3</v>
      </c>
      <c r="C7" s="4" t="s">
        <v>4</v>
      </c>
      <c r="D7" s="4" t="s">
        <v>6</v>
      </c>
      <c r="E7" s="4">
        <v>24</v>
      </c>
      <c r="F7" s="4" t="str">
        <f t="shared" si="0"/>
        <v>LS-JCR-ROS-WET-24hr</v>
      </c>
      <c r="H7" t="s">
        <v>3</v>
      </c>
      <c r="I7" t="s">
        <v>7</v>
      </c>
      <c r="J7" t="s">
        <v>6</v>
      </c>
      <c r="K7">
        <v>0</v>
      </c>
      <c r="M7" s="4" t="s">
        <v>3</v>
      </c>
      <c r="N7" s="4" t="s">
        <v>7</v>
      </c>
      <c r="O7" s="4" t="s">
        <v>25</v>
      </c>
      <c r="P7" s="4">
        <v>1</v>
      </c>
      <c r="Q7" s="4" t="str">
        <f t="shared" si="1"/>
        <v>MB-JCR-SKY-POST-1</v>
      </c>
      <c r="S7" s="3" t="s">
        <v>3</v>
      </c>
      <c r="T7" s="3" t="s">
        <v>4</v>
      </c>
      <c r="U7" s="3" t="s">
        <v>6</v>
      </c>
      <c r="V7">
        <v>2</v>
      </c>
      <c r="W7" t="s">
        <v>22</v>
      </c>
    </row>
    <row r="8" spans="1:29" x14ac:dyDescent="0.2">
      <c r="A8">
        <v>5</v>
      </c>
      <c r="B8" s="4" t="s">
        <v>3</v>
      </c>
      <c r="C8" s="4" t="s">
        <v>4</v>
      </c>
      <c r="D8" s="4" t="s">
        <v>6</v>
      </c>
      <c r="E8" s="4">
        <v>48</v>
      </c>
      <c r="F8" s="4" t="str">
        <f t="shared" si="0"/>
        <v>LS-JCR-ROS-WET-48hr</v>
      </c>
      <c r="H8" t="s">
        <v>8</v>
      </c>
      <c r="I8" t="s">
        <v>4</v>
      </c>
      <c r="J8" t="s">
        <v>5</v>
      </c>
      <c r="K8">
        <v>0</v>
      </c>
      <c r="M8" s="4" t="s">
        <v>3</v>
      </c>
      <c r="N8" s="4" t="s">
        <v>4</v>
      </c>
      <c r="O8" s="4" t="s">
        <v>24</v>
      </c>
      <c r="P8" s="4">
        <v>2</v>
      </c>
      <c r="Q8" s="4" t="str">
        <f t="shared" si="1"/>
        <v>MB-JCR-ROS-PRE-2</v>
      </c>
      <c r="S8" s="3" t="s">
        <v>3</v>
      </c>
      <c r="T8" s="3" t="s">
        <v>4</v>
      </c>
      <c r="U8" s="3" t="s">
        <v>5</v>
      </c>
      <c r="V8">
        <v>3</v>
      </c>
      <c r="W8" t="s">
        <v>22</v>
      </c>
    </row>
    <row r="9" spans="1:29" x14ac:dyDescent="0.2">
      <c r="A9">
        <v>6</v>
      </c>
      <c r="B9" s="4" t="s">
        <v>3</v>
      </c>
      <c r="C9" s="4" t="s">
        <v>4</v>
      </c>
      <c r="D9" s="4" t="s">
        <v>6</v>
      </c>
      <c r="E9" s="4">
        <v>72</v>
      </c>
      <c r="F9" s="4" t="str">
        <f t="shared" si="0"/>
        <v>LS-JCR-ROS-WET-72hr</v>
      </c>
      <c r="H9" t="s">
        <v>8</v>
      </c>
      <c r="I9" t="s">
        <v>4</v>
      </c>
      <c r="J9" t="s">
        <v>6</v>
      </c>
      <c r="K9">
        <v>0</v>
      </c>
      <c r="M9" s="4" t="s">
        <v>3</v>
      </c>
      <c r="N9" s="4" t="s">
        <v>4</v>
      </c>
      <c r="O9" s="4" t="s">
        <v>25</v>
      </c>
      <c r="P9" s="4">
        <v>2</v>
      </c>
      <c r="Q9" s="4" t="str">
        <f t="shared" si="1"/>
        <v>MB-JCR-ROS-POST-2</v>
      </c>
      <c r="S9" s="3" t="s">
        <v>3</v>
      </c>
      <c r="T9" s="3" t="s">
        <v>4</v>
      </c>
      <c r="U9" s="3" t="s">
        <v>6</v>
      </c>
      <c r="V9">
        <v>3</v>
      </c>
      <c r="W9" t="s">
        <v>22</v>
      </c>
    </row>
    <row r="10" spans="1:29" x14ac:dyDescent="0.2">
      <c r="A10">
        <v>7</v>
      </c>
      <c r="B10" s="4" t="s">
        <v>3</v>
      </c>
      <c r="C10" s="4" t="s">
        <v>4</v>
      </c>
      <c r="D10" s="4" t="s">
        <v>29</v>
      </c>
      <c r="E10" s="4">
        <v>0</v>
      </c>
      <c r="F10" s="4" t="str">
        <f t="shared" si="0"/>
        <v>LS-JCR-ROS-VAPOR-0hr</v>
      </c>
      <c r="H10" t="s">
        <v>8</v>
      </c>
      <c r="I10" t="s">
        <v>7</v>
      </c>
      <c r="J10" t="s">
        <v>5</v>
      </c>
      <c r="K10">
        <v>0</v>
      </c>
      <c r="M10" s="4" t="s">
        <v>3</v>
      </c>
      <c r="N10" s="4" t="s">
        <v>7</v>
      </c>
      <c r="O10" s="4" t="s">
        <v>24</v>
      </c>
      <c r="P10" s="4">
        <v>2</v>
      </c>
      <c r="Q10" s="4" t="str">
        <f t="shared" si="1"/>
        <v>MB-JCR-SKY-PRE-2</v>
      </c>
      <c r="S10" s="3" t="s">
        <v>3</v>
      </c>
      <c r="T10" s="3" t="s">
        <v>4</v>
      </c>
      <c r="U10" s="3" t="s">
        <v>5</v>
      </c>
      <c r="V10">
        <v>8</v>
      </c>
      <c r="W10" t="s">
        <v>22</v>
      </c>
    </row>
    <row r="11" spans="1:29" x14ac:dyDescent="0.2">
      <c r="A11">
        <v>8</v>
      </c>
      <c r="B11" s="4" t="s">
        <v>3</v>
      </c>
      <c r="C11" s="4" t="s">
        <v>4</v>
      </c>
      <c r="D11" s="4" t="s">
        <v>29</v>
      </c>
      <c r="E11" s="4">
        <v>6</v>
      </c>
      <c r="F11" s="4" t="str">
        <f t="shared" si="0"/>
        <v>LS-JCR-ROS-VAPOR-6hr</v>
      </c>
      <c r="H11" t="s">
        <v>8</v>
      </c>
      <c r="I11" t="s">
        <v>7</v>
      </c>
      <c r="J11" t="s">
        <v>6</v>
      </c>
      <c r="K11">
        <v>0</v>
      </c>
      <c r="M11" s="4" t="s">
        <v>3</v>
      </c>
      <c r="N11" s="4" t="s">
        <v>7</v>
      </c>
      <c r="O11" s="4" t="s">
        <v>25</v>
      </c>
      <c r="P11" s="4">
        <v>2</v>
      </c>
      <c r="Q11" s="4" t="str">
        <f t="shared" si="1"/>
        <v>MB-JCR-SKY-POST-2</v>
      </c>
      <c r="S11" s="3" t="s">
        <v>3</v>
      </c>
      <c r="T11" s="3" t="s">
        <v>4</v>
      </c>
      <c r="U11" s="3" t="s">
        <v>6</v>
      </c>
      <c r="V11">
        <v>8</v>
      </c>
      <c r="W11" t="s">
        <v>22</v>
      </c>
    </row>
    <row r="12" spans="1:29" x14ac:dyDescent="0.2">
      <c r="A12">
        <v>9</v>
      </c>
      <c r="B12" s="4" t="s">
        <v>3</v>
      </c>
      <c r="C12" s="4" t="s">
        <v>4</v>
      </c>
      <c r="D12" s="4" t="s">
        <v>29</v>
      </c>
      <c r="E12" s="4">
        <v>12</v>
      </c>
      <c r="F12" s="4" t="str">
        <f t="shared" si="0"/>
        <v>LS-JCR-ROS-VAPOR-12hr</v>
      </c>
      <c r="H12" t="s">
        <v>9</v>
      </c>
      <c r="I12" t="s">
        <v>4</v>
      </c>
      <c r="J12" t="s">
        <v>5</v>
      </c>
      <c r="K12">
        <v>0</v>
      </c>
      <c r="M12" s="4" t="s">
        <v>3</v>
      </c>
      <c r="N12" s="4" t="s">
        <v>4</v>
      </c>
      <c r="O12" s="4" t="s">
        <v>24</v>
      </c>
      <c r="P12" s="4">
        <v>3</v>
      </c>
      <c r="Q12" s="4" t="str">
        <f t="shared" si="1"/>
        <v>MB-JCR-ROS-PRE-3</v>
      </c>
      <c r="S12" s="3" t="s">
        <v>3</v>
      </c>
      <c r="T12" s="3" t="s">
        <v>4</v>
      </c>
      <c r="U12" s="3" t="s">
        <v>5</v>
      </c>
      <c r="V12">
        <v>12</v>
      </c>
      <c r="W12" t="s">
        <v>22</v>
      </c>
    </row>
    <row r="13" spans="1:29" x14ac:dyDescent="0.2">
      <c r="A13">
        <v>10</v>
      </c>
      <c r="B13" s="4" t="s">
        <v>3</v>
      </c>
      <c r="C13" s="4" t="s">
        <v>4</v>
      </c>
      <c r="D13" s="4" t="s">
        <v>29</v>
      </c>
      <c r="E13" s="4">
        <v>24</v>
      </c>
      <c r="F13" s="4" t="str">
        <f t="shared" si="0"/>
        <v>LS-JCR-ROS-VAPOR-24hr</v>
      </c>
      <c r="H13" t="s">
        <v>9</v>
      </c>
      <c r="I13" t="s">
        <v>4</v>
      </c>
      <c r="J13" t="s">
        <v>6</v>
      </c>
      <c r="K13">
        <v>0</v>
      </c>
      <c r="M13" s="4" t="s">
        <v>3</v>
      </c>
      <c r="N13" s="4" t="s">
        <v>4</v>
      </c>
      <c r="O13" s="4" t="s">
        <v>25</v>
      </c>
      <c r="P13" s="4">
        <v>3</v>
      </c>
      <c r="Q13" s="4" t="str">
        <f t="shared" si="1"/>
        <v>MB-JCR-ROS-POST-3</v>
      </c>
      <c r="S13" s="3" t="s">
        <v>3</v>
      </c>
      <c r="T13" s="3" t="s">
        <v>4</v>
      </c>
      <c r="U13" s="3" t="s">
        <v>6</v>
      </c>
      <c r="V13">
        <v>12</v>
      </c>
      <c r="W13" t="s">
        <v>22</v>
      </c>
    </row>
    <row r="14" spans="1:29" x14ac:dyDescent="0.2">
      <c r="A14">
        <v>11</v>
      </c>
      <c r="B14" s="4" t="s">
        <v>3</v>
      </c>
      <c r="C14" s="4" t="s">
        <v>4</v>
      </c>
      <c r="D14" s="4" t="s">
        <v>29</v>
      </c>
      <c r="E14" s="4">
        <v>48</v>
      </c>
      <c r="F14" s="4" t="str">
        <f t="shared" si="0"/>
        <v>LS-JCR-ROS-VAPOR-48hr</v>
      </c>
      <c r="H14" t="s">
        <v>9</v>
      </c>
      <c r="I14" t="s">
        <v>7</v>
      </c>
      <c r="J14" t="s">
        <v>5</v>
      </c>
      <c r="K14">
        <v>0</v>
      </c>
      <c r="M14" s="4" t="s">
        <v>3</v>
      </c>
      <c r="N14" s="4" t="s">
        <v>7</v>
      </c>
      <c r="O14" s="4" t="s">
        <v>24</v>
      </c>
      <c r="P14" s="4">
        <v>3</v>
      </c>
      <c r="Q14" s="4" t="str">
        <f t="shared" si="1"/>
        <v>MB-JCR-SKY-PRE-3</v>
      </c>
      <c r="S14" s="3" t="s">
        <v>3</v>
      </c>
      <c r="T14" s="3" t="s">
        <v>4</v>
      </c>
      <c r="U14" s="3" t="s">
        <v>5</v>
      </c>
      <c r="V14">
        <v>15</v>
      </c>
      <c r="W14" t="s">
        <v>22</v>
      </c>
    </row>
    <row r="15" spans="1:29" x14ac:dyDescent="0.2">
      <c r="A15">
        <v>12</v>
      </c>
      <c r="B15" s="4" t="s">
        <v>3</v>
      </c>
      <c r="C15" s="4" t="s">
        <v>4</v>
      </c>
      <c r="D15" s="4" t="s">
        <v>29</v>
      </c>
      <c r="E15" s="4">
        <v>72</v>
      </c>
      <c r="F15" s="4" t="str">
        <f t="shared" si="0"/>
        <v>LS-JCR-ROS-VAPOR-72hr</v>
      </c>
      <c r="H15" t="s">
        <v>9</v>
      </c>
      <c r="I15" t="s">
        <v>7</v>
      </c>
      <c r="J15" t="s">
        <v>6</v>
      </c>
      <c r="K15">
        <v>0</v>
      </c>
      <c r="M15" s="4" t="s">
        <v>3</v>
      </c>
      <c r="N15" s="4" t="s">
        <v>7</v>
      </c>
      <c r="O15" s="4" t="s">
        <v>25</v>
      </c>
      <c r="P15" s="4">
        <v>3</v>
      </c>
      <c r="Q15" s="4" t="str">
        <f t="shared" si="1"/>
        <v>MB-JCR-SKY-POST-3</v>
      </c>
      <c r="S15" s="3" t="s">
        <v>3</v>
      </c>
      <c r="T15" s="3" t="s">
        <v>4</v>
      </c>
      <c r="U15" s="3" t="s">
        <v>6</v>
      </c>
      <c r="V15">
        <v>15</v>
      </c>
      <c r="W15" t="s">
        <v>22</v>
      </c>
    </row>
    <row r="16" spans="1:29" x14ac:dyDescent="0.2">
      <c r="A16">
        <v>13</v>
      </c>
      <c r="B16" s="4" t="s">
        <v>3</v>
      </c>
      <c r="C16" s="4" t="s">
        <v>7</v>
      </c>
      <c r="D16" s="4" t="s">
        <v>6</v>
      </c>
      <c r="E16" s="4">
        <v>0</v>
      </c>
      <c r="F16" s="4" t="str">
        <f t="shared" si="0"/>
        <v>LS-JCR-SKY-WET-0hr</v>
      </c>
      <c r="H16" t="s">
        <v>3</v>
      </c>
      <c r="I16" t="s">
        <v>4</v>
      </c>
      <c r="J16" t="s">
        <v>5</v>
      </c>
      <c r="K16">
        <v>72</v>
      </c>
      <c r="M16" s="4" t="s">
        <v>3</v>
      </c>
      <c r="N16" s="4" t="s">
        <v>4</v>
      </c>
      <c r="O16" s="4" t="s">
        <v>24</v>
      </c>
      <c r="P16" s="4">
        <v>3</v>
      </c>
      <c r="Q16" s="4" t="str">
        <f t="shared" si="1"/>
        <v>MB-JCR-ROS-PRE-3</v>
      </c>
      <c r="S16" t="s">
        <v>3</v>
      </c>
      <c r="T16" t="s">
        <v>4</v>
      </c>
      <c r="U16" t="s">
        <v>5</v>
      </c>
      <c r="V16">
        <v>1</v>
      </c>
      <c r="W16" t="s">
        <v>23</v>
      </c>
    </row>
    <row r="17" spans="1:23" x14ac:dyDescent="0.2">
      <c r="A17">
        <v>14</v>
      </c>
      <c r="B17" s="4" t="s">
        <v>3</v>
      </c>
      <c r="C17" s="4" t="s">
        <v>7</v>
      </c>
      <c r="D17" s="4" t="s">
        <v>6</v>
      </c>
      <c r="E17" s="4">
        <v>6</v>
      </c>
      <c r="F17" s="4" t="str">
        <f t="shared" si="0"/>
        <v>LS-JCR-SKY-WET-6hr</v>
      </c>
      <c r="H17" t="s">
        <v>3</v>
      </c>
      <c r="I17" t="s">
        <v>4</v>
      </c>
      <c r="J17" t="s">
        <v>6</v>
      </c>
      <c r="K17">
        <v>72</v>
      </c>
      <c r="M17" s="4" t="s">
        <v>3</v>
      </c>
      <c r="N17" s="4" t="s">
        <v>4</v>
      </c>
      <c r="O17" s="4" t="s">
        <v>25</v>
      </c>
      <c r="P17" s="4">
        <v>3</v>
      </c>
      <c r="Q17" s="4" t="str">
        <f t="shared" si="1"/>
        <v>MB-JCR-ROS-POST-3</v>
      </c>
      <c r="S17" t="s">
        <v>3</v>
      </c>
      <c r="T17" t="s">
        <v>4</v>
      </c>
      <c r="U17" t="s">
        <v>6</v>
      </c>
      <c r="V17">
        <v>1</v>
      </c>
      <c r="W17" t="s">
        <v>23</v>
      </c>
    </row>
    <row r="18" spans="1:23" x14ac:dyDescent="0.2">
      <c r="A18">
        <v>15</v>
      </c>
      <c r="B18" s="4" t="s">
        <v>3</v>
      </c>
      <c r="C18" s="4" t="s">
        <v>7</v>
      </c>
      <c r="D18" s="4" t="s">
        <v>6</v>
      </c>
      <c r="E18" s="4">
        <v>12</v>
      </c>
      <c r="F18" s="4" t="str">
        <f t="shared" si="0"/>
        <v>LS-JCR-SKY-WET-12hr</v>
      </c>
      <c r="H18" t="s">
        <v>3</v>
      </c>
      <c r="I18" t="s">
        <v>7</v>
      </c>
      <c r="J18" t="s">
        <v>5</v>
      </c>
      <c r="K18">
        <v>72</v>
      </c>
      <c r="M18" s="4" t="s">
        <v>3</v>
      </c>
      <c r="N18" s="4" t="s">
        <v>7</v>
      </c>
      <c r="O18" s="4" t="s">
        <v>24</v>
      </c>
      <c r="P18" s="4">
        <v>3</v>
      </c>
      <c r="Q18" s="4" t="str">
        <f t="shared" si="1"/>
        <v>MB-JCR-SKY-PRE-3</v>
      </c>
      <c r="S18" s="3" t="s">
        <v>3</v>
      </c>
      <c r="T18" s="3" t="s">
        <v>4</v>
      </c>
      <c r="U18" s="3" t="s">
        <v>5</v>
      </c>
      <c r="V18">
        <v>2</v>
      </c>
      <c r="W18" t="s">
        <v>23</v>
      </c>
    </row>
    <row r="19" spans="1:23" x14ac:dyDescent="0.2">
      <c r="A19">
        <v>16</v>
      </c>
      <c r="B19" s="4" t="s">
        <v>3</v>
      </c>
      <c r="C19" s="4" t="s">
        <v>7</v>
      </c>
      <c r="D19" s="4" t="s">
        <v>6</v>
      </c>
      <c r="E19" s="4">
        <v>24</v>
      </c>
      <c r="F19" s="4" t="str">
        <f t="shared" si="0"/>
        <v>LS-JCR-SKY-WET-24hr</v>
      </c>
      <c r="H19" t="s">
        <v>3</v>
      </c>
      <c r="I19" t="s">
        <v>7</v>
      </c>
      <c r="J19" t="s">
        <v>6</v>
      </c>
      <c r="K19">
        <v>72</v>
      </c>
      <c r="M19" s="4" t="s">
        <v>3</v>
      </c>
      <c r="N19" s="4" t="s">
        <v>7</v>
      </c>
      <c r="O19" s="4" t="s">
        <v>25</v>
      </c>
      <c r="P19" s="4">
        <v>3</v>
      </c>
      <c r="Q19" s="4" t="str">
        <f t="shared" si="1"/>
        <v>MB-JCR-SKY-POST-3</v>
      </c>
      <c r="S19" s="3" t="s">
        <v>3</v>
      </c>
      <c r="T19" s="3" t="s">
        <v>4</v>
      </c>
      <c r="U19" s="3" t="s">
        <v>6</v>
      </c>
      <c r="V19">
        <v>2</v>
      </c>
      <c r="W19" t="s">
        <v>23</v>
      </c>
    </row>
    <row r="20" spans="1:23" x14ac:dyDescent="0.2">
      <c r="A20">
        <v>17</v>
      </c>
      <c r="B20" s="4" t="s">
        <v>3</v>
      </c>
      <c r="C20" s="4" t="s">
        <v>7</v>
      </c>
      <c r="D20" s="4" t="s">
        <v>6</v>
      </c>
      <c r="E20" s="4">
        <v>48</v>
      </c>
      <c r="F20" s="4" t="str">
        <f t="shared" si="0"/>
        <v>LS-JCR-SKY-WET-48hr</v>
      </c>
      <c r="H20" t="s">
        <v>8</v>
      </c>
      <c r="I20" t="s">
        <v>4</v>
      </c>
      <c r="J20" t="s">
        <v>5</v>
      </c>
      <c r="K20">
        <v>72</v>
      </c>
      <c r="M20" s="5" t="s">
        <v>9</v>
      </c>
      <c r="N20" s="5" t="s">
        <v>4</v>
      </c>
      <c r="O20" s="5" t="s">
        <v>24</v>
      </c>
      <c r="P20" s="5">
        <v>1</v>
      </c>
      <c r="Q20" s="5" t="str">
        <f t="shared" si="1"/>
        <v>MB-PAL-ROS-PRE-1</v>
      </c>
      <c r="S20" s="3" t="s">
        <v>3</v>
      </c>
      <c r="T20" s="3" t="s">
        <v>4</v>
      </c>
      <c r="U20" s="3" t="s">
        <v>5</v>
      </c>
      <c r="V20">
        <v>3</v>
      </c>
      <c r="W20" t="s">
        <v>23</v>
      </c>
    </row>
    <row r="21" spans="1:23" x14ac:dyDescent="0.2">
      <c r="A21">
        <v>18</v>
      </c>
      <c r="B21" s="4" t="s">
        <v>3</v>
      </c>
      <c r="C21" s="4" t="s">
        <v>7</v>
      </c>
      <c r="D21" s="4" t="s">
        <v>6</v>
      </c>
      <c r="E21" s="4">
        <v>72</v>
      </c>
      <c r="F21" s="4" t="str">
        <f t="shared" si="0"/>
        <v>LS-JCR-SKY-WET-72hr</v>
      </c>
      <c r="H21" t="s">
        <v>8</v>
      </c>
      <c r="I21" t="s">
        <v>4</v>
      </c>
      <c r="J21" t="s">
        <v>6</v>
      </c>
      <c r="K21">
        <v>72</v>
      </c>
      <c r="M21" s="5" t="s">
        <v>9</v>
      </c>
      <c r="N21" s="5" t="s">
        <v>4</v>
      </c>
      <c r="O21" s="5" t="s">
        <v>25</v>
      </c>
      <c r="P21" s="5">
        <v>1</v>
      </c>
      <c r="Q21" s="5" t="str">
        <f t="shared" si="1"/>
        <v>MB-PAL-ROS-POST-1</v>
      </c>
      <c r="S21" s="3" t="s">
        <v>3</v>
      </c>
      <c r="T21" s="3" t="s">
        <v>4</v>
      </c>
      <c r="U21" s="3" t="s">
        <v>6</v>
      </c>
      <c r="V21">
        <v>3</v>
      </c>
      <c r="W21" t="s">
        <v>23</v>
      </c>
    </row>
    <row r="22" spans="1:23" x14ac:dyDescent="0.2">
      <c r="A22">
        <v>19</v>
      </c>
      <c r="B22" s="4" t="s">
        <v>3</v>
      </c>
      <c r="C22" s="4" t="s">
        <v>7</v>
      </c>
      <c r="D22" s="4" t="s">
        <v>29</v>
      </c>
      <c r="E22" s="4">
        <v>0</v>
      </c>
      <c r="F22" s="4" t="str">
        <f t="shared" si="0"/>
        <v>LS-JCR-SKY-VAPOR-0hr</v>
      </c>
      <c r="H22" t="s">
        <v>8</v>
      </c>
      <c r="I22" t="s">
        <v>7</v>
      </c>
      <c r="J22" t="s">
        <v>5</v>
      </c>
      <c r="K22">
        <v>72</v>
      </c>
      <c r="M22" s="5" t="s">
        <v>9</v>
      </c>
      <c r="N22" s="5" t="s">
        <v>7</v>
      </c>
      <c r="O22" s="5" t="s">
        <v>24</v>
      </c>
      <c r="P22" s="5">
        <v>1</v>
      </c>
      <c r="Q22" s="5" t="str">
        <f t="shared" si="1"/>
        <v>MB-PAL-SKY-PRE-1</v>
      </c>
      <c r="S22" s="3" t="s">
        <v>3</v>
      </c>
      <c r="T22" s="3" t="s">
        <v>4</v>
      </c>
      <c r="U22" s="3" t="s">
        <v>5</v>
      </c>
      <c r="V22">
        <v>8</v>
      </c>
      <c r="W22" t="s">
        <v>23</v>
      </c>
    </row>
    <row r="23" spans="1:23" x14ac:dyDescent="0.2">
      <c r="A23">
        <v>20</v>
      </c>
      <c r="B23" s="4" t="s">
        <v>3</v>
      </c>
      <c r="C23" s="4" t="s">
        <v>7</v>
      </c>
      <c r="D23" s="4" t="s">
        <v>29</v>
      </c>
      <c r="E23" s="4">
        <v>6</v>
      </c>
      <c r="F23" s="4" t="str">
        <f t="shared" si="0"/>
        <v>LS-JCR-SKY-VAPOR-6hr</v>
      </c>
      <c r="H23" t="s">
        <v>8</v>
      </c>
      <c r="I23" t="s">
        <v>7</v>
      </c>
      <c r="J23" t="s">
        <v>6</v>
      </c>
      <c r="K23">
        <v>72</v>
      </c>
      <c r="M23" s="5" t="s">
        <v>9</v>
      </c>
      <c r="N23" s="5" t="s">
        <v>7</v>
      </c>
      <c r="O23" s="5" t="s">
        <v>25</v>
      </c>
      <c r="P23" s="5">
        <v>1</v>
      </c>
      <c r="Q23" s="5" t="str">
        <f t="shared" si="1"/>
        <v>MB-PAL-SKY-POST-1</v>
      </c>
      <c r="S23" s="3" t="s">
        <v>3</v>
      </c>
      <c r="T23" s="3" t="s">
        <v>4</v>
      </c>
      <c r="U23" s="3" t="s">
        <v>6</v>
      </c>
      <c r="V23">
        <v>8</v>
      </c>
      <c r="W23" t="s">
        <v>23</v>
      </c>
    </row>
    <row r="24" spans="1:23" x14ac:dyDescent="0.2">
      <c r="A24">
        <v>21</v>
      </c>
      <c r="B24" s="4" t="s">
        <v>3</v>
      </c>
      <c r="C24" s="4" t="s">
        <v>7</v>
      </c>
      <c r="D24" s="4" t="s">
        <v>29</v>
      </c>
      <c r="E24" s="4">
        <v>12</v>
      </c>
      <c r="F24" s="4" t="str">
        <f t="shared" si="0"/>
        <v>LS-JCR-SKY-VAPOR-12hr</v>
      </c>
      <c r="H24" t="s">
        <v>9</v>
      </c>
      <c r="I24" t="s">
        <v>4</v>
      </c>
      <c r="J24" t="s">
        <v>5</v>
      </c>
      <c r="K24">
        <v>72</v>
      </c>
      <c r="M24" s="5" t="s">
        <v>9</v>
      </c>
      <c r="N24" s="5" t="s">
        <v>4</v>
      </c>
      <c r="O24" s="5" t="s">
        <v>24</v>
      </c>
      <c r="P24" s="5">
        <v>2</v>
      </c>
      <c r="Q24" s="5" t="str">
        <f t="shared" si="1"/>
        <v>MB-PAL-ROS-PRE-2</v>
      </c>
      <c r="S24" s="3" t="s">
        <v>3</v>
      </c>
      <c r="T24" s="3" t="s">
        <v>4</v>
      </c>
      <c r="U24" s="3" t="s">
        <v>5</v>
      </c>
      <c r="V24">
        <v>12</v>
      </c>
      <c r="W24" t="s">
        <v>23</v>
      </c>
    </row>
    <row r="25" spans="1:23" x14ac:dyDescent="0.2">
      <c r="A25">
        <v>22</v>
      </c>
      <c r="B25" s="4" t="s">
        <v>3</v>
      </c>
      <c r="C25" s="4" t="s">
        <v>7</v>
      </c>
      <c r="D25" s="4" t="s">
        <v>29</v>
      </c>
      <c r="E25" s="4">
        <v>24</v>
      </c>
      <c r="F25" s="4" t="str">
        <f t="shared" si="0"/>
        <v>LS-JCR-SKY-VAPOR-24hr</v>
      </c>
      <c r="H25" t="s">
        <v>9</v>
      </c>
      <c r="I25" t="s">
        <v>4</v>
      </c>
      <c r="J25" t="s">
        <v>6</v>
      </c>
      <c r="K25">
        <v>72</v>
      </c>
      <c r="M25" s="5" t="s">
        <v>9</v>
      </c>
      <c r="N25" s="5" t="s">
        <v>4</v>
      </c>
      <c r="O25" s="5" t="s">
        <v>25</v>
      </c>
      <c r="P25" s="5">
        <v>2</v>
      </c>
      <c r="Q25" s="5" t="str">
        <f t="shared" si="1"/>
        <v>MB-PAL-ROS-POST-2</v>
      </c>
      <c r="S25" s="3" t="s">
        <v>3</v>
      </c>
      <c r="T25" s="3" t="s">
        <v>4</v>
      </c>
      <c r="U25" s="3" t="s">
        <v>6</v>
      </c>
      <c r="V25">
        <v>12</v>
      </c>
      <c r="W25" t="s">
        <v>23</v>
      </c>
    </row>
    <row r="26" spans="1:23" x14ac:dyDescent="0.2">
      <c r="A26">
        <v>23</v>
      </c>
      <c r="B26" s="4" t="s">
        <v>3</v>
      </c>
      <c r="C26" s="4" t="s">
        <v>7</v>
      </c>
      <c r="D26" s="4" t="s">
        <v>29</v>
      </c>
      <c r="E26" s="4">
        <v>48</v>
      </c>
      <c r="F26" s="4" t="str">
        <f t="shared" si="0"/>
        <v>LS-JCR-SKY-VAPOR-48hr</v>
      </c>
      <c r="H26" t="s">
        <v>9</v>
      </c>
      <c r="I26" t="s">
        <v>7</v>
      </c>
      <c r="J26" t="s">
        <v>5</v>
      </c>
      <c r="K26">
        <v>72</v>
      </c>
      <c r="M26" s="5" t="s">
        <v>9</v>
      </c>
      <c r="N26" s="5" t="s">
        <v>7</v>
      </c>
      <c r="O26" s="5" t="s">
        <v>24</v>
      </c>
      <c r="P26" s="5">
        <v>2</v>
      </c>
      <c r="Q26" s="5" t="str">
        <f t="shared" si="1"/>
        <v>MB-PAL-SKY-PRE-2</v>
      </c>
      <c r="S26" s="3" t="s">
        <v>3</v>
      </c>
      <c r="T26" s="3" t="s">
        <v>4</v>
      </c>
      <c r="U26" s="3" t="s">
        <v>5</v>
      </c>
      <c r="V26">
        <v>15</v>
      </c>
      <c r="W26" t="s">
        <v>23</v>
      </c>
    </row>
    <row r="27" spans="1:23" x14ac:dyDescent="0.2">
      <c r="A27">
        <v>24</v>
      </c>
      <c r="B27" s="4" t="s">
        <v>3</v>
      </c>
      <c r="C27" s="4" t="s">
        <v>7</v>
      </c>
      <c r="D27" s="4" t="s">
        <v>29</v>
      </c>
      <c r="E27" s="4">
        <v>72</v>
      </c>
      <c r="F27" s="4" t="str">
        <f t="shared" si="0"/>
        <v>LS-JCR-SKY-VAPOR-72hr</v>
      </c>
      <c r="H27" t="s">
        <v>9</v>
      </c>
      <c r="I27" t="s">
        <v>7</v>
      </c>
      <c r="J27" t="s">
        <v>6</v>
      </c>
      <c r="K27">
        <v>72</v>
      </c>
      <c r="M27" s="5" t="s">
        <v>9</v>
      </c>
      <c r="N27" s="5" t="s">
        <v>7</v>
      </c>
      <c r="O27" s="5" t="s">
        <v>25</v>
      </c>
      <c r="P27" s="5">
        <v>2</v>
      </c>
      <c r="Q27" s="5" t="str">
        <f t="shared" si="1"/>
        <v>MB-PAL-SKY-POST-2</v>
      </c>
      <c r="S27" s="3" t="s">
        <v>3</v>
      </c>
      <c r="T27" s="3" t="s">
        <v>4</v>
      </c>
      <c r="U27" s="3" t="s">
        <v>6</v>
      </c>
      <c r="V27">
        <v>15</v>
      </c>
      <c r="W27" t="s">
        <v>23</v>
      </c>
    </row>
    <row r="28" spans="1:23" x14ac:dyDescent="0.2">
      <c r="A28">
        <v>25</v>
      </c>
      <c r="B28" s="5" t="s">
        <v>9</v>
      </c>
      <c r="C28" s="5" t="s">
        <v>4</v>
      </c>
      <c r="D28" s="5" t="s">
        <v>6</v>
      </c>
      <c r="E28" s="5">
        <v>0</v>
      </c>
      <c r="F28" s="5" t="str">
        <f t="shared" si="0"/>
        <v>LS-PAL-ROS-WET-0hr</v>
      </c>
      <c r="M28" s="5" t="s">
        <v>9</v>
      </c>
      <c r="N28" s="5" t="s">
        <v>4</v>
      </c>
      <c r="O28" s="5" t="s">
        <v>24</v>
      </c>
      <c r="P28" s="5">
        <v>3</v>
      </c>
      <c r="Q28" s="5" t="str">
        <f t="shared" si="1"/>
        <v>MB-PAL-ROS-PRE-3</v>
      </c>
      <c r="S28" t="s">
        <v>8</v>
      </c>
      <c r="T28" t="s">
        <v>4</v>
      </c>
      <c r="U28" t="s">
        <v>5</v>
      </c>
      <c r="V28">
        <v>1</v>
      </c>
      <c r="W28" t="s">
        <v>22</v>
      </c>
    </row>
    <row r="29" spans="1:23" x14ac:dyDescent="0.2">
      <c r="A29">
        <v>26</v>
      </c>
      <c r="B29" s="5" t="s">
        <v>9</v>
      </c>
      <c r="C29" s="5" t="s">
        <v>4</v>
      </c>
      <c r="D29" s="5" t="s">
        <v>6</v>
      </c>
      <c r="E29" s="5">
        <v>6</v>
      </c>
      <c r="F29" s="5" t="str">
        <f t="shared" si="0"/>
        <v>LS-PAL-ROS-WET-6hr</v>
      </c>
      <c r="M29" s="5" t="s">
        <v>9</v>
      </c>
      <c r="N29" s="5" t="s">
        <v>4</v>
      </c>
      <c r="O29" s="5" t="s">
        <v>25</v>
      </c>
      <c r="P29" s="5">
        <v>3</v>
      </c>
      <c r="Q29" s="5" t="str">
        <f t="shared" si="1"/>
        <v>MB-PAL-ROS-POST-3</v>
      </c>
      <c r="S29" t="s">
        <v>8</v>
      </c>
      <c r="T29" t="s">
        <v>4</v>
      </c>
      <c r="U29" t="s">
        <v>6</v>
      </c>
      <c r="V29">
        <v>1</v>
      </c>
      <c r="W29" t="s">
        <v>22</v>
      </c>
    </row>
    <row r="30" spans="1:23" x14ac:dyDescent="0.2">
      <c r="A30">
        <v>27</v>
      </c>
      <c r="B30" s="5" t="s">
        <v>9</v>
      </c>
      <c r="C30" s="5" t="s">
        <v>4</v>
      </c>
      <c r="D30" s="5" t="s">
        <v>6</v>
      </c>
      <c r="E30" s="5">
        <v>12</v>
      </c>
      <c r="F30" s="5" t="str">
        <f t="shared" si="0"/>
        <v>LS-PAL-ROS-WET-12hr</v>
      </c>
      <c r="M30" s="5" t="s">
        <v>9</v>
      </c>
      <c r="N30" s="5" t="s">
        <v>7</v>
      </c>
      <c r="O30" s="5" t="s">
        <v>24</v>
      </c>
      <c r="P30" s="5">
        <v>3</v>
      </c>
      <c r="Q30" s="5" t="str">
        <f t="shared" si="1"/>
        <v>MB-PAL-SKY-PRE-3</v>
      </c>
      <c r="S30" s="3" t="s">
        <v>8</v>
      </c>
      <c r="T30" s="3" t="s">
        <v>4</v>
      </c>
      <c r="U30" s="3" t="s">
        <v>5</v>
      </c>
      <c r="V30">
        <v>2</v>
      </c>
      <c r="W30" t="s">
        <v>22</v>
      </c>
    </row>
    <row r="31" spans="1:23" x14ac:dyDescent="0.2">
      <c r="A31">
        <v>28</v>
      </c>
      <c r="B31" s="5" t="s">
        <v>9</v>
      </c>
      <c r="C31" s="5" t="s">
        <v>4</v>
      </c>
      <c r="D31" s="5" t="s">
        <v>6</v>
      </c>
      <c r="E31" s="5">
        <v>24</v>
      </c>
      <c r="F31" s="5" t="str">
        <f t="shared" si="0"/>
        <v>LS-PAL-ROS-WET-24hr</v>
      </c>
      <c r="M31" s="5" t="s">
        <v>9</v>
      </c>
      <c r="N31" s="5" t="s">
        <v>7</v>
      </c>
      <c r="O31" s="5" t="s">
        <v>25</v>
      </c>
      <c r="P31" s="5">
        <v>3</v>
      </c>
      <c r="Q31" s="5" t="str">
        <f t="shared" si="1"/>
        <v>MB-PAL-SKY-POST-3</v>
      </c>
      <c r="S31" s="3" t="s">
        <v>8</v>
      </c>
      <c r="T31" s="3" t="s">
        <v>4</v>
      </c>
      <c r="U31" s="3" t="s">
        <v>6</v>
      </c>
      <c r="V31">
        <v>2</v>
      </c>
      <c r="W31" t="s">
        <v>22</v>
      </c>
    </row>
    <row r="32" spans="1:23" x14ac:dyDescent="0.2">
      <c r="A32">
        <v>29</v>
      </c>
      <c r="B32" s="5" t="s">
        <v>9</v>
      </c>
      <c r="C32" s="5" t="s">
        <v>4</v>
      </c>
      <c r="D32" s="5" t="s">
        <v>6</v>
      </c>
      <c r="E32" s="5">
        <v>48</v>
      </c>
      <c r="F32" s="5" t="str">
        <f t="shared" si="0"/>
        <v>LS-PAL-ROS-WET-48hr</v>
      </c>
      <c r="M32" s="5" t="s">
        <v>9</v>
      </c>
      <c r="N32" s="5" t="s">
        <v>4</v>
      </c>
      <c r="O32" s="5" t="s">
        <v>24</v>
      </c>
      <c r="P32" s="5">
        <v>3</v>
      </c>
      <c r="Q32" s="5" t="str">
        <f t="shared" si="1"/>
        <v>MB-PAL-ROS-PRE-3</v>
      </c>
      <c r="S32" s="3" t="s">
        <v>8</v>
      </c>
      <c r="T32" s="3" t="s">
        <v>4</v>
      </c>
      <c r="U32" s="3" t="s">
        <v>5</v>
      </c>
      <c r="V32">
        <v>3</v>
      </c>
      <c r="W32" t="s">
        <v>22</v>
      </c>
    </row>
    <row r="33" spans="1:23" x14ac:dyDescent="0.2">
      <c r="A33">
        <v>30</v>
      </c>
      <c r="B33" s="5" t="s">
        <v>9</v>
      </c>
      <c r="C33" s="5" t="s">
        <v>4</v>
      </c>
      <c r="D33" s="5" t="s">
        <v>6</v>
      </c>
      <c r="E33" s="5">
        <v>72</v>
      </c>
      <c r="F33" s="5" t="str">
        <f t="shared" si="0"/>
        <v>LS-PAL-ROS-WET-72hr</v>
      </c>
      <c r="M33" s="5" t="s">
        <v>9</v>
      </c>
      <c r="N33" s="5" t="s">
        <v>4</v>
      </c>
      <c r="O33" s="5" t="s">
        <v>25</v>
      </c>
      <c r="P33" s="5">
        <v>3</v>
      </c>
      <c r="Q33" s="5" t="str">
        <f t="shared" si="1"/>
        <v>MB-PAL-ROS-POST-3</v>
      </c>
      <c r="S33" s="3" t="s">
        <v>8</v>
      </c>
      <c r="T33" s="3" t="s">
        <v>4</v>
      </c>
      <c r="U33" s="3" t="s">
        <v>6</v>
      </c>
      <c r="V33">
        <v>3</v>
      </c>
      <c r="W33" t="s">
        <v>22</v>
      </c>
    </row>
    <row r="34" spans="1:23" x14ac:dyDescent="0.2">
      <c r="A34">
        <v>31</v>
      </c>
      <c r="B34" s="5" t="s">
        <v>9</v>
      </c>
      <c r="C34" s="5" t="s">
        <v>4</v>
      </c>
      <c r="D34" s="5" t="s">
        <v>29</v>
      </c>
      <c r="E34" s="5">
        <v>0</v>
      </c>
      <c r="F34" s="5" t="str">
        <f t="shared" si="0"/>
        <v>LS-PAL-ROS-VAPOR-0hr</v>
      </c>
      <c r="M34" s="5" t="s">
        <v>9</v>
      </c>
      <c r="N34" s="5" t="s">
        <v>7</v>
      </c>
      <c r="O34" s="5" t="s">
        <v>24</v>
      </c>
      <c r="P34" s="5">
        <v>3</v>
      </c>
      <c r="Q34" s="5" t="str">
        <f t="shared" si="1"/>
        <v>MB-PAL-SKY-PRE-3</v>
      </c>
      <c r="S34" s="3" t="s">
        <v>8</v>
      </c>
      <c r="T34" s="3" t="s">
        <v>4</v>
      </c>
      <c r="U34" s="3" t="s">
        <v>5</v>
      </c>
      <c r="V34">
        <v>8</v>
      </c>
      <c r="W34" t="s">
        <v>22</v>
      </c>
    </row>
    <row r="35" spans="1:23" x14ac:dyDescent="0.2">
      <c r="A35">
        <v>32</v>
      </c>
      <c r="B35" s="5" t="s">
        <v>9</v>
      </c>
      <c r="C35" s="5" t="s">
        <v>4</v>
      </c>
      <c r="D35" s="5" t="s">
        <v>29</v>
      </c>
      <c r="E35" s="5">
        <v>6</v>
      </c>
      <c r="F35" s="5" t="str">
        <f t="shared" si="0"/>
        <v>LS-PAL-ROS-VAPOR-6hr</v>
      </c>
      <c r="M35" s="5" t="s">
        <v>9</v>
      </c>
      <c r="N35" s="5" t="s">
        <v>7</v>
      </c>
      <c r="O35" s="5" t="s">
        <v>25</v>
      </c>
      <c r="P35" s="5">
        <v>3</v>
      </c>
      <c r="Q35" s="5" t="str">
        <f t="shared" si="1"/>
        <v>MB-PAL-SKY-POST-3</v>
      </c>
      <c r="S35" s="3" t="s">
        <v>8</v>
      </c>
      <c r="T35" s="3" t="s">
        <v>4</v>
      </c>
      <c r="U35" s="3" t="s">
        <v>6</v>
      </c>
      <c r="V35">
        <v>8</v>
      </c>
      <c r="W35" t="s">
        <v>22</v>
      </c>
    </row>
    <row r="36" spans="1:23" x14ac:dyDescent="0.2">
      <c r="A36">
        <v>33</v>
      </c>
      <c r="B36" s="5" t="s">
        <v>9</v>
      </c>
      <c r="C36" s="5" t="s">
        <v>4</v>
      </c>
      <c r="D36" s="5" t="s">
        <v>29</v>
      </c>
      <c r="E36" s="5">
        <v>12</v>
      </c>
      <c r="F36" s="5" t="str">
        <f t="shared" si="0"/>
        <v>LS-PAL-ROS-VAPOR-12hr</v>
      </c>
      <c r="M36" s="6" t="s">
        <v>8</v>
      </c>
      <c r="N36" s="6" t="s">
        <v>4</v>
      </c>
      <c r="O36" s="6" t="s">
        <v>24</v>
      </c>
      <c r="P36" s="6">
        <v>1</v>
      </c>
      <c r="Q36" s="6" t="str">
        <f t="shared" si="1"/>
        <v>MB-LOM-ROS-PRE-1</v>
      </c>
      <c r="S36" s="3" t="s">
        <v>8</v>
      </c>
      <c r="T36" s="3" t="s">
        <v>4</v>
      </c>
      <c r="U36" s="3" t="s">
        <v>5</v>
      </c>
      <c r="V36">
        <v>12</v>
      </c>
      <c r="W36" t="s">
        <v>22</v>
      </c>
    </row>
    <row r="37" spans="1:23" x14ac:dyDescent="0.2">
      <c r="A37">
        <v>34</v>
      </c>
      <c r="B37" s="5" t="s">
        <v>9</v>
      </c>
      <c r="C37" s="5" t="s">
        <v>4</v>
      </c>
      <c r="D37" s="5" t="s">
        <v>29</v>
      </c>
      <c r="E37" s="5">
        <v>24</v>
      </c>
      <c r="F37" s="5" t="str">
        <f t="shared" si="0"/>
        <v>LS-PAL-ROS-VAPOR-24hr</v>
      </c>
      <c r="M37" s="6" t="s">
        <v>8</v>
      </c>
      <c r="N37" s="6" t="s">
        <v>4</v>
      </c>
      <c r="O37" s="6" t="s">
        <v>25</v>
      </c>
      <c r="P37" s="6">
        <v>1</v>
      </c>
      <c r="Q37" s="6" t="str">
        <f t="shared" si="1"/>
        <v>MB-LOM-ROS-POST-1</v>
      </c>
      <c r="S37" s="3" t="s">
        <v>8</v>
      </c>
      <c r="T37" s="3" t="s">
        <v>4</v>
      </c>
      <c r="U37" s="3" t="s">
        <v>6</v>
      </c>
      <c r="V37">
        <v>12</v>
      </c>
      <c r="W37" t="s">
        <v>22</v>
      </c>
    </row>
    <row r="38" spans="1:23" x14ac:dyDescent="0.2">
      <c r="A38">
        <v>35</v>
      </c>
      <c r="B38" s="5" t="s">
        <v>9</v>
      </c>
      <c r="C38" s="5" t="s">
        <v>4</v>
      </c>
      <c r="D38" s="5" t="s">
        <v>29</v>
      </c>
      <c r="E38" s="5">
        <v>48</v>
      </c>
      <c r="F38" s="5" t="str">
        <f>_xlfn.CONCAT("LS","-",B38,"-",C38,"-",D38,"-",E38,"hr")</f>
        <v>LS-PAL-ROS-VAPOR-48hr</v>
      </c>
      <c r="M38" s="6" t="s">
        <v>8</v>
      </c>
      <c r="N38" s="6" t="s">
        <v>7</v>
      </c>
      <c r="O38" s="6" t="s">
        <v>24</v>
      </c>
      <c r="P38" s="6">
        <v>1</v>
      </c>
      <c r="Q38" s="6" t="str">
        <f t="shared" si="1"/>
        <v>MB-LOM-SKY-PRE-1</v>
      </c>
      <c r="S38" s="3" t="s">
        <v>8</v>
      </c>
      <c r="T38" s="3" t="s">
        <v>4</v>
      </c>
      <c r="U38" s="3" t="s">
        <v>5</v>
      </c>
      <c r="V38">
        <v>15</v>
      </c>
      <c r="W38" t="s">
        <v>22</v>
      </c>
    </row>
    <row r="39" spans="1:23" x14ac:dyDescent="0.2">
      <c r="A39">
        <v>36</v>
      </c>
      <c r="B39" s="5" t="s">
        <v>9</v>
      </c>
      <c r="C39" s="5" t="s">
        <v>4</v>
      </c>
      <c r="D39" s="5" t="s">
        <v>29</v>
      </c>
      <c r="E39" s="5">
        <v>72</v>
      </c>
      <c r="F39" s="5" t="str">
        <f t="shared" si="0"/>
        <v>LS-PAL-ROS-VAPOR-72hr</v>
      </c>
      <c r="M39" s="6" t="s">
        <v>8</v>
      </c>
      <c r="N39" s="6" t="s">
        <v>7</v>
      </c>
      <c r="O39" s="6" t="s">
        <v>25</v>
      </c>
      <c r="P39" s="6">
        <v>1</v>
      </c>
      <c r="Q39" s="6" t="str">
        <f t="shared" si="1"/>
        <v>MB-LOM-SKY-POST-1</v>
      </c>
      <c r="S39" s="3" t="s">
        <v>8</v>
      </c>
      <c r="T39" s="3" t="s">
        <v>4</v>
      </c>
      <c r="U39" s="3" t="s">
        <v>6</v>
      </c>
      <c r="V39">
        <v>15</v>
      </c>
      <c r="W39" t="s">
        <v>22</v>
      </c>
    </row>
    <row r="40" spans="1:23" x14ac:dyDescent="0.2">
      <c r="A40">
        <v>37</v>
      </c>
      <c r="B40" s="5" t="s">
        <v>9</v>
      </c>
      <c r="C40" s="5" t="s">
        <v>7</v>
      </c>
      <c r="D40" s="5" t="s">
        <v>6</v>
      </c>
      <c r="E40" s="5">
        <v>0</v>
      </c>
      <c r="F40" s="5" t="str">
        <f t="shared" si="0"/>
        <v>LS-PAL-SKY-WET-0hr</v>
      </c>
      <c r="M40" s="6" t="s">
        <v>8</v>
      </c>
      <c r="N40" s="6" t="s">
        <v>4</v>
      </c>
      <c r="O40" s="6" t="s">
        <v>24</v>
      </c>
      <c r="P40" s="6">
        <v>2</v>
      </c>
      <c r="Q40" s="6" t="str">
        <f t="shared" si="1"/>
        <v>MB-LOM-ROS-PRE-2</v>
      </c>
      <c r="S40" t="s">
        <v>8</v>
      </c>
      <c r="T40" t="s">
        <v>4</v>
      </c>
      <c r="U40" t="s">
        <v>5</v>
      </c>
      <c r="V40">
        <v>1</v>
      </c>
      <c r="W40" t="s">
        <v>23</v>
      </c>
    </row>
    <row r="41" spans="1:23" x14ac:dyDescent="0.2">
      <c r="A41">
        <v>38</v>
      </c>
      <c r="B41" s="5" t="s">
        <v>9</v>
      </c>
      <c r="C41" s="5" t="s">
        <v>7</v>
      </c>
      <c r="D41" s="5" t="s">
        <v>6</v>
      </c>
      <c r="E41" s="5">
        <v>6</v>
      </c>
      <c r="F41" s="5" t="str">
        <f t="shared" si="0"/>
        <v>LS-PAL-SKY-WET-6hr</v>
      </c>
      <c r="M41" s="6" t="s">
        <v>8</v>
      </c>
      <c r="N41" s="6" t="s">
        <v>4</v>
      </c>
      <c r="O41" s="6" t="s">
        <v>25</v>
      </c>
      <c r="P41" s="6">
        <v>2</v>
      </c>
      <c r="Q41" s="6" t="str">
        <f t="shared" si="1"/>
        <v>MB-LOM-ROS-POST-2</v>
      </c>
      <c r="S41" t="s">
        <v>8</v>
      </c>
      <c r="T41" t="s">
        <v>4</v>
      </c>
      <c r="U41" t="s">
        <v>6</v>
      </c>
      <c r="V41">
        <v>1</v>
      </c>
      <c r="W41" t="s">
        <v>23</v>
      </c>
    </row>
    <row r="42" spans="1:23" x14ac:dyDescent="0.2">
      <c r="A42">
        <v>39</v>
      </c>
      <c r="B42" s="5" t="s">
        <v>9</v>
      </c>
      <c r="C42" s="5" t="s">
        <v>7</v>
      </c>
      <c r="D42" s="5" t="s">
        <v>6</v>
      </c>
      <c r="E42" s="5">
        <v>12</v>
      </c>
      <c r="F42" s="5" t="str">
        <f t="shared" si="0"/>
        <v>LS-PAL-SKY-WET-12hr</v>
      </c>
      <c r="M42" s="6" t="s">
        <v>8</v>
      </c>
      <c r="N42" s="6" t="s">
        <v>7</v>
      </c>
      <c r="O42" s="6" t="s">
        <v>24</v>
      </c>
      <c r="P42" s="6">
        <v>2</v>
      </c>
      <c r="Q42" s="6" t="str">
        <f t="shared" si="1"/>
        <v>MB-LOM-SKY-PRE-2</v>
      </c>
      <c r="S42" s="3" t="s">
        <v>8</v>
      </c>
      <c r="T42" s="3" t="s">
        <v>4</v>
      </c>
      <c r="U42" s="3" t="s">
        <v>5</v>
      </c>
      <c r="V42">
        <v>2</v>
      </c>
      <c r="W42" t="s">
        <v>23</v>
      </c>
    </row>
    <row r="43" spans="1:23" x14ac:dyDescent="0.2">
      <c r="A43">
        <v>40</v>
      </c>
      <c r="B43" s="5" t="s">
        <v>9</v>
      </c>
      <c r="C43" s="5" t="s">
        <v>7</v>
      </c>
      <c r="D43" s="5" t="s">
        <v>6</v>
      </c>
      <c r="E43" s="5">
        <v>24</v>
      </c>
      <c r="F43" s="5" t="str">
        <f t="shared" si="0"/>
        <v>LS-PAL-SKY-WET-24hr</v>
      </c>
      <c r="M43" s="6" t="s">
        <v>8</v>
      </c>
      <c r="N43" s="6" t="s">
        <v>7</v>
      </c>
      <c r="O43" s="6" t="s">
        <v>25</v>
      </c>
      <c r="P43" s="6">
        <v>2</v>
      </c>
      <c r="Q43" s="6" t="str">
        <f t="shared" si="1"/>
        <v>MB-LOM-SKY-POST-2</v>
      </c>
      <c r="S43" s="3" t="s">
        <v>8</v>
      </c>
      <c r="T43" s="3" t="s">
        <v>4</v>
      </c>
      <c r="U43" s="3" t="s">
        <v>6</v>
      </c>
      <c r="V43">
        <v>2</v>
      </c>
      <c r="W43" t="s">
        <v>23</v>
      </c>
    </row>
    <row r="44" spans="1:23" x14ac:dyDescent="0.2">
      <c r="A44">
        <v>41</v>
      </c>
      <c r="B44" s="5" t="s">
        <v>9</v>
      </c>
      <c r="C44" s="5" t="s">
        <v>7</v>
      </c>
      <c r="D44" s="5" t="s">
        <v>6</v>
      </c>
      <c r="E44" s="5">
        <v>48</v>
      </c>
      <c r="F44" s="5" t="str">
        <f t="shared" si="0"/>
        <v>LS-PAL-SKY-WET-48hr</v>
      </c>
      <c r="M44" s="6" t="s">
        <v>8</v>
      </c>
      <c r="N44" s="6" t="s">
        <v>4</v>
      </c>
      <c r="O44" s="6" t="s">
        <v>24</v>
      </c>
      <c r="P44" s="6">
        <v>3</v>
      </c>
      <c r="Q44" s="6" t="str">
        <f t="shared" si="1"/>
        <v>MB-LOM-ROS-PRE-3</v>
      </c>
      <c r="S44" s="3" t="s">
        <v>8</v>
      </c>
      <c r="T44" s="3" t="s">
        <v>4</v>
      </c>
      <c r="U44" s="3" t="s">
        <v>5</v>
      </c>
      <c r="V44">
        <v>3</v>
      </c>
      <c r="W44" t="s">
        <v>23</v>
      </c>
    </row>
    <row r="45" spans="1:23" x14ac:dyDescent="0.2">
      <c r="A45">
        <v>42</v>
      </c>
      <c r="B45" s="5" t="s">
        <v>9</v>
      </c>
      <c r="C45" s="5" t="s">
        <v>7</v>
      </c>
      <c r="D45" s="5" t="s">
        <v>6</v>
      </c>
      <c r="E45" s="5">
        <v>72</v>
      </c>
      <c r="F45" s="5" t="str">
        <f t="shared" si="0"/>
        <v>LS-PAL-SKY-WET-72hr</v>
      </c>
      <c r="M45" s="6" t="s">
        <v>8</v>
      </c>
      <c r="N45" s="6" t="s">
        <v>4</v>
      </c>
      <c r="O45" s="6" t="s">
        <v>25</v>
      </c>
      <c r="P45" s="6">
        <v>3</v>
      </c>
      <c r="Q45" s="6" t="str">
        <f t="shared" si="1"/>
        <v>MB-LOM-ROS-POST-3</v>
      </c>
      <c r="S45" s="3" t="s">
        <v>8</v>
      </c>
      <c r="T45" s="3" t="s">
        <v>4</v>
      </c>
      <c r="U45" s="3" t="s">
        <v>6</v>
      </c>
      <c r="V45">
        <v>3</v>
      </c>
      <c r="W45" t="s">
        <v>23</v>
      </c>
    </row>
    <row r="46" spans="1:23" x14ac:dyDescent="0.2">
      <c r="A46">
        <v>43</v>
      </c>
      <c r="B46" s="5" t="s">
        <v>9</v>
      </c>
      <c r="C46" s="5" t="s">
        <v>7</v>
      </c>
      <c r="D46" s="5" t="s">
        <v>29</v>
      </c>
      <c r="E46" s="5">
        <v>0</v>
      </c>
      <c r="F46" s="5" t="str">
        <f t="shared" si="0"/>
        <v>LS-PAL-SKY-VAPOR-0hr</v>
      </c>
      <c r="M46" s="6" t="s">
        <v>8</v>
      </c>
      <c r="N46" s="6" t="s">
        <v>7</v>
      </c>
      <c r="O46" s="6" t="s">
        <v>24</v>
      </c>
      <c r="P46" s="6">
        <v>3</v>
      </c>
      <c r="Q46" s="6" t="str">
        <f t="shared" si="1"/>
        <v>MB-LOM-SKY-PRE-3</v>
      </c>
      <c r="S46" s="3" t="s">
        <v>8</v>
      </c>
      <c r="T46" s="3" t="s">
        <v>4</v>
      </c>
      <c r="U46" s="3" t="s">
        <v>5</v>
      </c>
      <c r="V46">
        <v>8</v>
      </c>
      <c r="W46" t="s">
        <v>23</v>
      </c>
    </row>
    <row r="47" spans="1:23" x14ac:dyDescent="0.2">
      <c r="A47">
        <v>44</v>
      </c>
      <c r="B47" s="5" t="s">
        <v>9</v>
      </c>
      <c r="C47" s="5" t="s">
        <v>7</v>
      </c>
      <c r="D47" s="5" t="s">
        <v>29</v>
      </c>
      <c r="E47" s="5">
        <v>6</v>
      </c>
      <c r="F47" s="5" t="str">
        <f t="shared" si="0"/>
        <v>LS-PAL-SKY-VAPOR-6hr</v>
      </c>
      <c r="M47" s="6" t="s">
        <v>8</v>
      </c>
      <c r="N47" s="6" t="s">
        <v>7</v>
      </c>
      <c r="O47" s="6" t="s">
        <v>25</v>
      </c>
      <c r="P47" s="6">
        <v>3</v>
      </c>
      <c r="Q47" s="6" t="str">
        <f t="shared" si="1"/>
        <v>MB-LOM-SKY-POST-3</v>
      </c>
      <c r="S47" s="3" t="s">
        <v>8</v>
      </c>
      <c r="T47" s="3" t="s">
        <v>4</v>
      </c>
      <c r="U47" s="3" t="s">
        <v>6</v>
      </c>
      <c r="V47">
        <v>8</v>
      </c>
      <c r="W47" t="s">
        <v>23</v>
      </c>
    </row>
    <row r="48" spans="1:23" x14ac:dyDescent="0.2">
      <c r="A48">
        <v>45</v>
      </c>
      <c r="B48" s="5" t="s">
        <v>9</v>
      </c>
      <c r="C48" s="5" t="s">
        <v>7</v>
      </c>
      <c r="D48" s="5" t="s">
        <v>29</v>
      </c>
      <c r="E48" s="5">
        <v>12</v>
      </c>
      <c r="F48" s="5" t="str">
        <f t="shared" si="0"/>
        <v>LS-PAL-SKY-VAPOR-12hr</v>
      </c>
      <c r="M48" s="6" t="s">
        <v>8</v>
      </c>
      <c r="N48" s="6" t="s">
        <v>4</v>
      </c>
      <c r="O48" s="6" t="s">
        <v>24</v>
      </c>
      <c r="P48" s="6">
        <v>3</v>
      </c>
      <c r="Q48" s="6" t="str">
        <f t="shared" si="1"/>
        <v>MB-LOM-ROS-PRE-3</v>
      </c>
      <c r="S48" s="3" t="s">
        <v>8</v>
      </c>
      <c r="T48" s="3" t="s">
        <v>4</v>
      </c>
      <c r="U48" s="3" t="s">
        <v>5</v>
      </c>
      <c r="V48">
        <v>12</v>
      </c>
      <c r="W48" t="s">
        <v>23</v>
      </c>
    </row>
    <row r="49" spans="1:23" x14ac:dyDescent="0.2">
      <c r="A49">
        <v>46</v>
      </c>
      <c r="B49" s="5" t="s">
        <v>9</v>
      </c>
      <c r="C49" s="5" t="s">
        <v>7</v>
      </c>
      <c r="D49" s="5" t="s">
        <v>29</v>
      </c>
      <c r="E49" s="5">
        <v>24</v>
      </c>
      <c r="F49" s="5" t="str">
        <f t="shared" si="0"/>
        <v>LS-PAL-SKY-VAPOR-24hr</v>
      </c>
      <c r="M49" s="6" t="s">
        <v>8</v>
      </c>
      <c r="N49" s="6" t="s">
        <v>4</v>
      </c>
      <c r="O49" s="6" t="s">
        <v>25</v>
      </c>
      <c r="P49" s="6">
        <v>3</v>
      </c>
      <c r="Q49" s="6" t="str">
        <f t="shared" si="1"/>
        <v>MB-LOM-ROS-POST-3</v>
      </c>
      <c r="S49" s="3" t="s">
        <v>8</v>
      </c>
      <c r="T49" s="3" t="s">
        <v>4</v>
      </c>
      <c r="U49" s="3" t="s">
        <v>6</v>
      </c>
      <c r="V49">
        <v>12</v>
      </c>
      <c r="W49" t="s">
        <v>23</v>
      </c>
    </row>
    <row r="50" spans="1:23" x14ac:dyDescent="0.2">
      <c r="A50">
        <v>47</v>
      </c>
      <c r="B50" s="5" t="s">
        <v>9</v>
      </c>
      <c r="C50" s="5" t="s">
        <v>7</v>
      </c>
      <c r="D50" s="5" t="s">
        <v>29</v>
      </c>
      <c r="E50" s="5">
        <v>48</v>
      </c>
      <c r="F50" s="5" t="str">
        <f t="shared" si="0"/>
        <v>LS-PAL-SKY-VAPOR-48hr</v>
      </c>
      <c r="M50" s="6" t="s">
        <v>8</v>
      </c>
      <c r="N50" s="6" t="s">
        <v>7</v>
      </c>
      <c r="O50" s="6" t="s">
        <v>24</v>
      </c>
      <c r="P50" s="6">
        <v>3</v>
      </c>
      <c r="Q50" s="6" t="str">
        <f t="shared" si="1"/>
        <v>MB-LOM-SKY-PRE-3</v>
      </c>
      <c r="S50" s="3" t="s">
        <v>8</v>
      </c>
      <c r="T50" s="3" t="s">
        <v>4</v>
      </c>
      <c r="U50" s="3" t="s">
        <v>5</v>
      </c>
      <c r="V50">
        <v>15</v>
      </c>
      <c r="W50" t="s">
        <v>23</v>
      </c>
    </row>
    <row r="51" spans="1:23" x14ac:dyDescent="0.2">
      <c r="A51">
        <v>48</v>
      </c>
      <c r="B51" s="5" t="s">
        <v>9</v>
      </c>
      <c r="C51" s="5" t="s">
        <v>7</v>
      </c>
      <c r="D51" s="5" t="s">
        <v>29</v>
      </c>
      <c r="E51" s="5">
        <v>72</v>
      </c>
      <c r="F51" s="5" t="str">
        <f t="shared" si="0"/>
        <v>LS-PAL-SKY-VAPOR-72hr</v>
      </c>
      <c r="M51" s="6" t="s">
        <v>8</v>
      </c>
      <c r="N51" s="6" t="s">
        <v>7</v>
      </c>
      <c r="O51" s="6" t="s">
        <v>25</v>
      </c>
      <c r="P51" s="6">
        <v>3</v>
      </c>
      <c r="Q51" s="6" t="str">
        <f t="shared" si="1"/>
        <v>MB-LOM-SKY-POST-3</v>
      </c>
      <c r="S51" s="3" t="s">
        <v>8</v>
      </c>
      <c r="T51" s="3" t="s">
        <v>4</v>
      </c>
      <c r="U51" s="3" t="s">
        <v>6</v>
      </c>
      <c r="V51">
        <v>15</v>
      </c>
      <c r="W51" t="s">
        <v>23</v>
      </c>
    </row>
    <row r="52" spans="1:23" x14ac:dyDescent="0.2">
      <c r="A52">
        <v>49</v>
      </c>
      <c r="B52" s="6" t="s">
        <v>8</v>
      </c>
      <c r="C52" s="6" t="s">
        <v>4</v>
      </c>
      <c r="D52" s="6" t="s">
        <v>6</v>
      </c>
      <c r="E52" s="6">
        <v>0</v>
      </c>
      <c r="F52" s="6" t="str">
        <f t="shared" si="0"/>
        <v>LS-LOM-ROS-WET-0hr</v>
      </c>
      <c r="S52" t="s">
        <v>9</v>
      </c>
      <c r="T52" t="s">
        <v>4</v>
      </c>
      <c r="U52" t="s">
        <v>5</v>
      </c>
      <c r="V52">
        <v>1</v>
      </c>
      <c r="W52" t="s">
        <v>22</v>
      </c>
    </row>
    <row r="53" spans="1:23" x14ac:dyDescent="0.2">
      <c r="A53">
        <v>50</v>
      </c>
      <c r="B53" s="6" t="s">
        <v>8</v>
      </c>
      <c r="C53" s="6" t="s">
        <v>4</v>
      </c>
      <c r="D53" s="6" t="s">
        <v>6</v>
      </c>
      <c r="E53" s="6">
        <v>6</v>
      </c>
      <c r="F53" s="6" t="str">
        <f t="shared" si="0"/>
        <v>LS-LOM-ROS-WET-6hr</v>
      </c>
      <c r="S53" t="s">
        <v>9</v>
      </c>
      <c r="T53" t="s">
        <v>4</v>
      </c>
      <c r="U53" t="s">
        <v>6</v>
      </c>
      <c r="V53">
        <v>1</v>
      </c>
      <c r="W53" t="s">
        <v>22</v>
      </c>
    </row>
    <row r="54" spans="1:23" x14ac:dyDescent="0.2">
      <c r="A54">
        <v>51</v>
      </c>
      <c r="B54" s="6" t="s">
        <v>8</v>
      </c>
      <c r="C54" s="6" t="s">
        <v>4</v>
      </c>
      <c r="D54" s="6" t="s">
        <v>6</v>
      </c>
      <c r="E54" s="6">
        <v>12</v>
      </c>
      <c r="F54" s="6" t="str">
        <f t="shared" si="0"/>
        <v>LS-LOM-ROS-WET-12hr</v>
      </c>
      <c r="S54" s="3" t="s">
        <v>9</v>
      </c>
      <c r="T54" s="3" t="s">
        <v>4</v>
      </c>
      <c r="U54" s="3" t="s">
        <v>5</v>
      </c>
      <c r="V54">
        <v>2</v>
      </c>
      <c r="W54" t="s">
        <v>22</v>
      </c>
    </row>
    <row r="55" spans="1:23" x14ac:dyDescent="0.2">
      <c r="A55">
        <v>52</v>
      </c>
      <c r="B55" s="6" t="s">
        <v>8</v>
      </c>
      <c r="C55" s="6" t="s">
        <v>4</v>
      </c>
      <c r="D55" s="6" t="s">
        <v>6</v>
      </c>
      <c r="E55" s="6">
        <v>24</v>
      </c>
      <c r="F55" s="6" t="str">
        <f t="shared" si="0"/>
        <v>LS-LOM-ROS-WET-24hr</v>
      </c>
      <c r="S55" s="3" t="s">
        <v>9</v>
      </c>
      <c r="T55" s="3" t="s">
        <v>4</v>
      </c>
      <c r="U55" s="3" t="s">
        <v>6</v>
      </c>
      <c r="V55">
        <v>2</v>
      </c>
      <c r="W55" t="s">
        <v>22</v>
      </c>
    </row>
    <row r="56" spans="1:23" x14ac:dyDescent="0.2">
      <c r="A56">
        <v>53</v>
      </c>
      <c r="B56" s="6" t="s">
        <v>8</v>
      </c>
      <c r="C56" s="6" t="s">
        <v>4</v>
      </c>
      <c r="D56" s="6" t="s">
        <v>6</v>
      </c>
      <c r="E56" s="6">
        <v>48</v>
      </c>
      <c r="F56" s="6" t="str">
        <f t="shared" si="0"/>
        <v>LS-LOM-ROS-WET-48hr</v>
      </c>
      <c r="S56" s="3" t="s">
        <v>9</v>
      </c>
      <c r="T56" s="3" t="s">
        <v>4</v>
      </c>
      <c r="U56" s="3" t="s">
        <v>5</v>
      </c>
      <c r="V56">
        <v>3</v>
      </c>
      <c r="W56" t="s">
        <v>22</v>
      </c>
    </row>
    <row r="57" spans="1:23" x14ac:dyDescent="0.2">
      <c r="A57">
        <v>54</v>
      </c>
      <c r="B57" s="6" t="s">
        <v>8</v>
      </c>
      <c r="C57" s="6" t="s">
        <v>4</v>
      </c>
      <c r="D57" s="6" t="s">
        <v>6</v>
      </c>
      <c r="E57" s="6">
        <v>72</v>
      </c>
      <c r="F57" s="6" t="str">
        <f t="shared" si="0"/>
        <v>LS-LOM-ROS-WET-72hr</v>
      </c>
      <c r="S57" s="3" t="s">
        <v>9</v>
      </c>
      <c r="T57" s="3" t="s">
        <v>4</v>
      </c>
      <c r="U57" s="3" t="s">
        <v>6</v>
      </c>
      <c r="V57">
        <v>3</v>
      </c>
      <c r="W57" t="s">
        <v>22</v>
      </c>
    </row>
    <row r="58" spans="1:23" x14ac:dyDescent="0.2">
      <c r="A58">
        <v>55</v>
      </c>
      <c r="B58" s="6" t="s">
        <v>8</v>
      </c>
      <c r="C58" s="6" t="s">
        <v>4</v>
      </c>
      <c r="D58" s="6" t="s">
        <v>29</v>
      </c>
      <c r="E58" s="6">
        <v>0</v>
      </c>
      <c r="F58" s="6" t="str">
        <f t="shared" si="0"/>
        <v>LS-LOM-ROS-VAPOR-0hr</v>
      </c>
      <c r="S58" s="3" t="s">
        <v>9</v>
      </c>
      <c r="T58" s="3" t="s">
        <v>4</v>
      </c>
      <c r="U58" s="3" t="s">
        <v>5</v>
      </c>
      <c r="V58">
        <v>8</v>
      </c>
      <c r="W58" t="s">
        <v>22</v>
      </c>
    </row>
    <row r="59" spans="1:23" x14ac:dyDescent="0.2">
      <c r="A59">
        <v>56</v>
      </c>
      <c r="B59" s="6" t="s">
        <v>8</v>
      </c>
      <c r="C59" s="6" t="s">
        <v>4</v>
      </c>
      <c r="D59" s="6" t="s">
        <v>29</v>
      </c>
      <c r="E59" s="6">
        <v>6</v>
      </c>
      <c r="F59" s="6" t="str">
        <f t="shared" si="0"/>
        <v>LS-LOM-ROS-VAPOR-6hr</v>
      </c>
      <c r="S59" s="3" t="s">
        <v>9</v>
      </c>
      <c r="T59" s="3" t="s">
        <v>4</v>
      </c>
      <c r="U59" s="3" t="s">
        <v>6</v>
      </c>
      <c r="V59">
        <v>8</v>
      </c>
      <c r="W59" t="s">
        <v>22</v>
      </c>
    </row>
    <row r="60" spans="1:23" x14ac:dyDescent="0.2">
      <c r="A60">
        <v>57</v>
      </c>
      <c r="B60" s="6" t="s">
        <v>8</v>
      </c>
      <c r="C60" s="6" t="s">
        <v>4</v>
      </c>
      <c r="D60" s="6" t="s">
        <v>29</v>
      </c>
      <c r="E60" s="6">
        <v>12</v>
      </c>
      <c r="F60" s="6" t="str">
        <f t="shared" si="0"/>
        <v>LS-LOM-ROS-VAPOR-12hr</v>
      </c>
      <c r="S60" s="3" t="s">
        <v>9</v>
      </c>
      <c r="T60" s="3" t="s">
        <v>4</v>
      </c>
      <c r="U60" s="3" t="s">
        <v>5</v>
      </c>
      <c r="V60">
        <v>12</v>
      </c>
      <c r="W60" t="s">
        <v>22</v>
      </c>
    </row>
    <row r="61" spans="1:23" x14ac:dyDescent="0.2">
      <c r="A61">
        <v>58</v>
      </c>
      <c r="B61" s="6" t="s">
        <v>8</v>
      </c>
      <c r="C61" s="6" t="s">
        <v>4</v>
      </c>
      <c r="D61" s="6" t="s">
        <v>29</v>
      </c>
      <c r="E61" s="6">
        <v>24</v>
      </c>
      <c r="F61" s="6" t="str">
        <f t="shared" si="0"/>
        <v>LS-LOM-ROS-VAPOR-24hr</v>
      </c>
      <c r="S61" s="3" t="s">
        <v>9</v>
      </c>
      <c r="T61" s="3" t="s">
        <v>4</v>
      </c>
      <c r="U61" s="3" t="s">
        <v>6</v>
      </c>
      <c r="V61">
        <v>12</v>
      </c>
      <c r="W61" t="s">
        <v>22</v>
      </c>
    </row>
    <row r="62" spans="1:23" x14ac:dyDescent="0.2">
      <c r="A62">
        <v>59</v>
      </c>
      <c r="B62" s="6" t="s">
        <v>8</v>
      </c>
      <c r="C62" s="6" t="s">
        <v>4</v>
      </c>
      <c r="D62" s="6" t="s">
        <v>29</v>
      </c>
      <c r="E62" s="6">
        <v>48</v>
      </c>
      <c r="F62" s="6" t="str">
        <f t="shared" si="0"/>
        <v>LS-LOM-ROS-VAPOR-48hr</v>
      </c>
      <c r="S62" s="3" t="s">
        <v>9</v>
      </c>
      <c r="T62" s="3" t="s">
        <v>4</v>
      </c>
      <c r="U62" s="3" t="s">
        <v>5</v>
      </c>
      <c r="V62">
        <v>15</v>
      </c>
      <c r="W62" t="s">
        <v>22</v>
      </c>
    </row>
    <row r="63" spans="1:23" x14ac:dyDescent="0.2">
      <c r="A63">
        <v>60</v>
      </c>
      <c r="B63" s="6" t="s">
        <v>8</v>
      </c>
      <c r="C63" s="6" t="s">
        <v>4</v>
      </c>
      <c r="D63" s="6" t="s">
        <v>29</v>
      </c>
      <c r="E63" s="6">
        <v>72</v>
      </c>
      <c r="F63" s="6" t="str">
        <f t="shared" si="0"/>
        <v>LS-LOM-ROS-VAPOR-72hr</v>
      </c>
      <c r="S63" s="3" t="s">
        <v>9</v>
      </c>
      <c r="T63" s="3" t="s">
        <v>4</v>
      </c>
      <c r="U63" s="3" t="s">
        <v>6</v>
      </c>
      <c r="V63">
        <v>15</v>
      </c>
      <c r="W63" t="s">
        <v>22</v>
      </c>
    </row>
    <row r="64" spans="1:23" x14ac:dyDescent="0.2">
      <c r="A64">
        <v>61</v>
      </c>
      <c r="B64" s="6" t="s">
        <v>8</v>
      </c>
      <c r="C64" s="6" t="s">
        <v>7</v>
      </c>
      <c r="D64" s="6" t="s">
        <v>6</v>
      </c>
      <c r="E64" s="6">
        <v>0</v>
      </c>
      <c r="F64" s="6" t="str">
        <f t="shared" si="0"/>
        <v>LS-LOM-SKY-WET-0hr</v>
      </c>
      <c r="S64" t="s">
        <v>9</v>
      </c>
      <c r="T64" t="s">
        <v>4</v>
      </c>
      <c r="U64" t="s">
        <v>5</v>
      </c>
      <c r="V64">
        <v>1</v>
      </c>
      <c r="W64" t="s">
        <v>23</v>
      </c>
    </row>
    <row r="65" spans="1:23" x14ac:dyDescent="0.2">
      <c r="A65">
        <v>62</v>
      </c>
      <c r="B65" s="6" t="s">
        <v>8</v>
      </c>
      <c r="C65" s="6" t="s">
        <v>7</v>
      </c>
      <c r="D65" s="6" t="s">
        <v>6</v>
      </c>
      <c r="E65" s="6">
        <v>6</v>
      </c>
      <c r="F65" s="6" t="str">
        <f t="shared" si="0"/>
        <v>LS-LOM-SKY-WET-6hr</v>
      </c>
      <c r="S65" t="s">
        <v>9</v>
      </c>
      <c r="T65" t="s">
        <v>4</v>
      </c>
      <c r="U65" t="s">
        <v>6</v>
      </c>
      <c r="V65">
        <v>1</v>
      </c>
      <c r="W65" t="s">
        <v>23</v>
      </c>
    </row>
    <row r="66" spans="1:23" x14ac:dyDescent="0.2">
      <c r="A66">
        <v>63</v>
      </c>
      <c r="B66" s="6" t="s">
        <v>8</v>
      </c>
      <c r="C66" s="6" t="s">
        <v>7</v>
      </c>
      <c r="D66" s="6" t="s">
        <v>6</v>
      </c>
      <c r="E66" s="6">
        <v>12</v>
      </c>
      <c r="F66" s="6" t="str">
        <f t="shared" si="0"/>
        <v>LS-LOM-SKY-WET-12hr</v>
      </c>
      <c r="S66" s="3" t="s">
        <v>9</v>
      </c>
      <c r="T66" s="3" t="s">
        <v>4</v>
      </c>
      <c r="U66" s="3" t="s">
        <v>5</v>
      </c>
      <c r="V66">
        <v>2</v>
      </c>
      <c r="W66" t="s">
        <v>23</v>
      </c>
    </row>
    <row r="67" spans="1:23" x14ac:dyDescent="0.2">
      <c r="A67">
        <v>64</v>
      </c>
      <c r="B67" s="6" t="s">
        <v>8</v>
      </c>
      <c r="C67" s="6" t="s">
        <v>7</v>
      </c>
      <c r="D67" s="6" t="s">
        <v>6</v>
      </c>
      <c r="E67" s="6">
        <v>24</v>
      </c>
      <c r="F67" s="6" t="str">
        <f t="shared" si="0"/>
        <v>LS-LOM-SKY-WET-24hr</v>
      </c>
      <c r="S67" s="3" t="s">
        <v>9</v>
      </c>
      <c r="T67" s="3" t="s">
        <v>4</v>
      </c>
      <c r="U67" s="3" t="s">
        <v>6</v>
      </c>
      <c r="V67">
        <v>2</v>
      </c>
      <c r="W67" t="s">
        <v>23</v>
      </c>
    </row>
    <row r="68" spans="1:23" x14ac:dyDescent="0.2">
      <c r="A68">
        <v>65</v>
      </c>
      <c r="B68" s="6" t="s">
        <v>8</v>
      </c>
      <c r="C68" s="6" t="s">
        <v>7</v>
      </c>
      <c r="D68" s="6" t="s">
        <v>6</v>
      </c>
      <c r="E68" s="6">
        <v>48</v>
      </c>
      <c r="F68" s="6" t="str">
        <f t="shared" si="0"/>
        <v>LS-LOM-SKY-WET-48hr</v>
      </c>
      <c r="S68" s="3" t="s">
        <v>9</v>
      </c>
      <c r="T68" s="3" t="s">
        <v>4</v>
      </c>
      <c r="U68" s="3" t="s">
        <v>5</v>
      </c>
      <c r="V68">
        <v>3</v>
      </c>
      <c r="W68" t="s">
        <v>23</v>
      </c>
    </row>
    <row r="69" spans="1:23" x14ac:dyDescent="0.2">
      <c r="A69">
        <v>66</v>
      </c>
      <c r="B69" s="6" t="s">
        <v>8</v>
      </c>
      <c r="C69" s="6" t="s">
        <v>7</v>
      </c>
      <c r="D69" s="6" t="s">
        <v>6</v>
      </c>
      <c r="E69" s="6">
        <v>72</v>
      </c>
      <c r="F69" s="6" t="str">
        <f t="shared" ref="F69:F75" si="2">_xlfn.CONCAT("LS","-",B69,"-",C69,"-",D69,"-",E69,"hr")</f>
        <v>LS-LOM-SKY-WET-72hr</v>
      </c>
      <c r="S69" s="3" t="s">
        <v>9</v>
      </c>
      <c r="T69" s="3" t="s">
        <v>4</v>
      </c>
      <c r="U69" s="3" t="s">
        <v>6</v>
      </c>
      <c r="V69">
        <v>3</v>
      </c>
      <c r="W69" t="s">
        <v>23</v>
      </c>
    </row>
    <row r="70" spans="1:23" x14ac:dyDescent="0.2">
      <c r="A70">
        <v>67</v>
      </c>
      <c r="B70" s="6" t="s">
        <v>8</v>
      </c>
      <c r="C70" s="6" t="s">
        <v>7</v>
      </c>
      <c r="D70" s="6" t="s">
        <v>29</v>
      </c>
      <c r="E70" s="6">
        <v>0</v>
      </c>
      <c r="F70" s="6" t="str">
        <f t="shared" si="2"/>
        <v>LS-LOM-SKY-VAPOR-0hr</v>
      </c>
      <c r="S70" s="3" t="s">
        <v>9</v>
      </c>
      <c r="T70" s="3" t="s">
        <v>4</v>
      </c>
      <c r="U70" s="3" t="s">
        <v>5</v>
      </c>
      <c r="V70">
        <v>8</v>
      </c>
      <c r="W70" t="s">
        <v>23</v>
      </c>
    </row>
    <row r="71" spans="1:23" x14ac:dyDescent="0.2">
      <c r="A71">
        <v>68</v>
      </c>
      <c r="B71" s="6" t="s">
        <v>8</v>
      </c>
      <c r="C71" s="6" t="s">
        <v>7</v>
      </c>
      <c r="D71" s="6" t="s">
        <v>29</v>
      </c>
      <c r="E71" s="6">
        <v>6</v>
      </c>
      <c r="F71" s="6" t="str">
        <f t="shared" si="2"/>
        <v>LS-LOM-SKY-VAPOR-6hr</v>
      </c>
      <c r="S71" s="3" t="s">
        <v>9</v>
      </c>
      <c r="T71" s="3" t="s">
        <v>4</v>
      </c>
      <c r="U71" s="3" t="s">
        <v>6</v>
      </c>
      <c r="V71">
        <v>8</v>
      </c>
      <c r="W71" t="s">
        <v>23</v>
      </c>
    </row>
    <row r="72" spans="1:23" x14ac:dyDescent="0.2">
      <c r="A72">
        <v>69</v>
      </c>
      <c r="B72" s="6" t="s">
        <v>8</v>
      </c>
      <c r="C72" s="6" t="s">
        <v>7</v>
      </c>
      <c r="D72" s="6" t="s">
        <v>29</v>
      </c>
      <c r="E72" s="6">
        <v>12</v>
      </c>
      <c r="F72" s="6" t="str">
        <f t="shared" si="2"/>
        <v>LS-LOM-SKY-VAPOR-12hr</v>
      </c>
      <c r="S72" s="3" t="s">
        <v>9</v>
      </c>
      <c r="T72" s="3" t="s">
        <v>4</v>
      </c>
      <c r="U72" s="3" t="s">
        <v>5</v>
      </c>
      <c r="V72">
        <v>12</v>
      </c>
      <c r="W72" t="s">
        <v>23</v>
      </c>
    </row>
    <row r="73" spans="1:23" x14ac:dyDescent="0.2">
      <c r="A73">
        <v>70</v>
      </c>
      <c r="B73" s="6" t="s">
        <v>8</v>
      </c>
      <c r="C73" s="6" t="s">
        <v>7</v>
      </c>
      <c r="D73" s="6" t="s">
        <v>29</v>
      </c>
      <c r="E73" s="6">
        <v>24</v>
      </c>
      <c r="F73" s="6" t="str">
        <f t="shared" si="2"/>
        <v>LS-LOM-SKY-VAPOR-24hr</v>
      </c>
      <c r="S73" s="3" t="s">
        <v>9</v>
      </c>
      <c r="T73" s="3" t="s">
        <v>4</v>
      </c>
      <c r="U73" s="3" t="s">
        <v>6</v>
      </c>
      <c r="V73">
        <v>12</v>
      </c>
      <c r="W73" t="s">
        <v>23</v>
      </c>
    </row>
    <row r="74" spans="1:23" x14ac:dyDescent="0.2">
      <c r="A74">
        <v>71</v>
      </c>
      <c r="B74" s="6" t="s">
        <v>8</v>
      </c>
      <c r="C74" s="6" t="s">
        <v>7</v>
      </c>
      <c r="D74" s="6" t="s">
        <v>29</v>
      </c>
      <c r="E74" s="6">
        <v>48</v>
      </c>
      <c r="F74" s="6" t="str">
        <f t="shared" si="2"/>
        <v>LS-LOM-SKY-VAPOR-48hr</v>
      </c>
      <c r="S74" s="3" t="s">
        <v>9</v>
      </c>
      <c r="T74" s="3" t="s">
        <v>4</v>
      </c>
      <c r="U74" s="3" t="s">
        <v>5</v>
      </c>
      <c r="V74">
        <v>15</v>
      </c>
      <c r="W74" t="s">
        <v>23</v>
      </c>
    </row>
    <row r="75" spans="1:23" x14ac:dyDescent="0.2">
      <c r="A75">
        <v>72</v>
      </c>
      <c r="B75" s="6" t="s">
        <v>8</v>
      </c>
      <c r="C75" s="6" t="s">
        <v>7</v>
      </c>
      <c r="D75" s="6" t="s">
        <v>29</v>
      </c>
      <c r="E75" s="6">
        <v>72</v>
      </c>
      <c r="F75" s="6" t="str">
        <f t="shared" si="2"/>
        <v>LS-LOM-SKY-VAPOR-72hr</v>
      </c>
      <c r="S75" s="3" t="s">
        <v>9</v>
      </c>
      <c r="T75" s="3" t="s">
        <v>4</v>
      </c>
      <c r="U75" s="3" t="s">
        <v>6</v>
      </c>
      <c r="V75">
        <v>15</v>
      </c>
      <c r="W75" t="s">
        <v>23</v>
      </c>
    </row>
    <row r="76" spans="1:23" x14ac:dyDescent="0.2">
      <c r="A76">
        <v>73</v>
      </c>
      <c r="S76" t="s">
        <v>3</v>
      </c>
      <c r="T76" t="s">
        <v>7</v>
      </c>
      <c r="U76" t="s">
        <v>5</v>
      </c>
      <c r="V76">
        <v>1</v>
      </c>
      <c r="W76" t="s">
        <v>22</v>
      </c>
    </row>
    <row r="77" spans="1:23" x14ac:dyDescent="0.2">
      <c r="A77">
        <v>74</v>
      </c>
      <c r="S77" t="s">
        <v>3</v>
      </c>
      <c r="T77" t="s">
        <v>7</v>
      </c>
      <c r="U77" t="s">
        <v>6</v>
      </c>
      <c r="V77">
        <v>1</v>
      </c>
      <c r="W77" t="s">
        <v>22</v>
      </c>
    </row>
    <row r="78" spans="1:23" x14ac:dyDescent="0.2">
      <c r="A78">
        <v>75</v>
      </c>
      <c r="S78" s="3" t="s">
        <v>3</v>
      </c>
      <c r="T78" s="3" t="s">
        <v>7</v>
      </c>
      <c r="U78" s="3" t="s">
        <v>5</v>
      </c>
      <c r="V78">
        <v>2</v>
      </c>
      <c r="W78" t="s">
        <v>22</v>
      </c>
    </row>
    <row r="79" spans="1:23" x14ac:dyDescent="0.2">
      <c r="A79">
        <v>76</v>
      </c>
      <c r="S79" s="3" t="s">
        <v>3</v>
      </c>
      <c r="T79" s="3" t="s">
        <v>7</v>
      </c>
      <c r="U79" s="3" t="s">
        <v>6</v>
      </c>
      <c r="V79">
        <v>2</v>
      </c>
      <c r="W79" t="s">
        <v>22</v>
      </c>
    </row>
    <row r="80" spans="1:23" x14ac:dyDescent="0.2">
      <c r="A80">
        <v>77</v>
      </c>
      <c r="S80" s="3" t="s">
        <v>3</v>
      </c>
      <c r="T80" s="3" t="s">
        <v>7</v>
      </c>
      <c r="U80" s="3" t="s">
        <v>5</v>
      </c>
      <c r="V80">
        <v>3</v>
      </c>
      <c r="W80" t="s">
        <v>22</v>
      </c>
    </row>
    <row r="81" spans="1:23" x14ac:dyDescent="0.2">
      <c r="A81">
        <v>78</v>
      </c>
      <c r="S81" s="3" t="s">
        <v>3</v>
      </c>
      <c r="T81" s="3" t="s">
        <v>7</v>
      </c>
      <c r="U81" s="3" t="s">
        <v>6</v>
      </c>
      <c r="V81">
        <v>3</v>
      </c>
      <c r="W81" t="s">
        <v>22</v>
      </c>
    </row>
    <row r="82" spans="1:23" x14ac:dyDescent="0.2">
      <c r="A82">
        <v>79</v>
      </c>
      <c r="S82" s="3" t="s">
        <v>3</v>
      </c>
      <c r="T82" s="3" t="s">
        <v>7</v>
      </c>
      <c r="U82" s="3" t="s">
        <v>5</v>
      </c>
      <c r="V82">
        <v>8</v>
      </c>
      <c r="W82" t="s">
        <v>22</v>
      </c>
    </row>
    <row r="83" spans="1:23" x14ac:dyDescent="0.2">
      <c r="A83">
        <v>80</v>
      </c>
      <c r="S83" s="3" t="s">
        <v>3</v>
      </c>
      <c r="T83" s="3" t="s">
        <v>7</v>
      </c>
      <c r="U83" s="3" t="s">
        <v>6</v>
      </c>
      <c r="V83">
        <v>8</v>
      </c>
      <c r="W83" t="s">
        <v>22</v>
      </c>
    </row>
    <row r="84" spans="1:23" x14ac:dyDescent="0.2">
      <c r="A84">
        <v>81</v>
      </c>
      <c r="S84" s="3" t="s">
        <v>3</v>
      </c>
      <c r="T84" s="3" t="s">
        <v>7</v>
      </c>
      <c r="U84" s="3" t="s">
        <v>5</v>
      </c>
      <c r="V84">
        <v>12</v>
      </c>
      <c r="W84" t="s">
        <v>22</v>
      </c>
    </row>
    <row r="85" spans="1:23" x14ac:dyDescent="0.2">
      <c r="A85">
        <v>82</v>
      </c>
      <c r="S85" s="3" t="s">
        <v>3</v>
      </c>
      <c r="T85" s="3" t="s">
        <v>7</v>
      </c>
      <c r="U85" s="3" t="s">
        <v>6</v>
      </c>
      <c r="V85">
        <v>12</v>
      </c>
      <c r="W85" t="s">
        <v>22</v>
      </c>
    </row>
    <row r="86" spans="1:23" x14ac:dyDescent="0.2">
      <c r="A86">
        <v>83</v>
      </c>
      <c r="S86" s="3" t="s">
        <v>3</v>
      </c>
      <c r="T86" s="3" t="s">
        <v>7</v>
      </c>
      <c r="U86" s="3" t="s">
        <v>5</v>
      </c>
      <c r="V86">
        <v>15</v>
      </c>
      <c r="W86" t="s">
        <v>22</v>
      </c>
    </row>
    <row r="87" spans="1:23" x14ac:dyDescent="0.2">
      <c r="A87">
        <v>84</v>
      </c>
      <c r="S87" s="3" t="s">
        <v>3</v>
      </c>
      <c r="T87" s="3" t="s">
        <v>7</v>
      </c>
      <c r="U87" s="3" t="s">
        <v>6</v>
      </c>
      <c r="V87">
        <v>15</v>
      </c>
      <c r="W87" t="s">
        <v>22</v>
      </c>
    </row>
    <row r="88" spans="1:23" x14ac:dyDescent="0.2">
      <c r="A88">
        <v>85</v>
      </c>
      <c r="S88" t="s">
        <v>3</v>
      </c>
      <c r="T88" t="s">
        <v>7</v>
      </c>
      <c r="U88" t="s">
        <v>5</v>
      </c>
      <c r="V88">
        <v>1</v>
      </c>
      <c r="W88" t="s">
        <v>23</v>
      </c>
    </row>
    <row r="89" spans="1:23" x14ac:dyDescent="0.2">
      <c r="A89">
        <v>86</v>
      </c>
      <c r="S89" t="s">
        <v>3</v>
      </c>
      <c r="T89" t="s">
        <v>7</v>
      </c>
      <c r="U89" t="s">
        <v>6</v>
      </c>
      <c r="V89">
        <v>1</v>
      </c>
      <c r="W89" t="s">
        <v>23</v>
      </c>
    </row>
    <row r="90" spans="1:23" x14ac:dyDescent="0.2">
      <c r="A90">
        <v>87</v>
      </c>
      <c r="S90" s="3" t="s">
        <v>3</v>
      </c>
      <c r="T90" s="3" t="s">
        <v>7</v>
      </c>
      <c r="U90" s="3" t="s">
        <v>5</v>
      </c>
      <c r="V90">
        <v>2</v>
      </c>
      <c r="W90" t="s">
        <v>23</v>
      </c>
    </row>
    <row r="91" spans="1:23" x14ac:dyDescent="0.2">
      <c r="A91">
        <v>88</v>
      </c>
      <c r="S91" s="3" t="s">
        <v>3</v>
      </c>
      <c r="T91" s="3" t="s">
        <v>7</v>
      </c>
      <c r="U91" s="3" t="s">
        <v>6</v>
      </c>
      <c r="V91">
        <v>2</v>
      </c>
      <c r="W91" t="s">
        <v>23</v>
      </c>
    </row>
    <row r="92" spans="1:23" x14ac:dyDescent="0.2">
      <c r="A92">
        <v>89</v>
      </c>
      <c r="S92" s="3" t="s">
        <v>3</v>
      </c>
      <c r="T92" s="3" t="s">
        <v>7</v>
      </c>
      <c r="U92" s="3" t="s">
        <v>5</v>
      </c>
      <c r="V92">
        <v>3</v>
      </c>
      <c r="W92" t="s">
        <v>23</v>
      </c>
    </row>
    <row r="93" spans="1:23" x14ac:dyDescent="0.2">
      <c r="A93">
        <v>90</v>
      </c>
      <c r="S93" s="3" t="s">
        <v>3</v>
      </c>
      <c r="T93" s="3" t="s">
        <v>7</v>
      </c>
      <c r="U93" s="3" t="s">
        <v>6</v>
      </c>
      <c r="V93">
        <v>3</v>
      </c>
      <c r="W93" t="s">
        <v>23</v>
      </c>
    </row>
    <row r="94" spans="1:23" x14ac:dyDescent="0.2">
      <c r="A94">
        <v>91</v>
      </c>
      <c r="S94" s="3" t="s">
        <v>3</v>
      </c>
      <c r="T94" s="3" t="s">
        <v>7</v>
      </c>
      <c r="U94" s="3" t="s">
        <v>5</v>
      </c>
      <c r="V94">
        <v>8</v>
      </c>
      <c r="W94" t="s">
        <v>23</v>
      </c>
    </row>
    <row r="95" spans="1:23" x14ac:dyDescent="0.2">
      <c r="A95">
        <v>92</v>
      </c>
      <c r="S95" s="3" t="s">
        <v>3</v>
      </c>
      <c r="T95" s="3" t="s">
        <v>7</v>
      </c>
      <c r="U95" s="3" t="s">
        <v>6</v>
      </c>
      <c r="V95">
        <v>8</v>
      </c>
      <c r="W95" t="s">
        <v>23</v>
      </c>
    </row>
    <row r="96" spans="1:23" x14ac:dyDescent="0.2">
      <c r="A96">
        <v>93</v>
      </c>
      <c r="S96" s="3" t="s">
        <v>3</v>
      </c>
      <c r="T96" s="3" t="s">
        <v>7</v>
      </c>
      <c r="U96" s="3" t="s">
        <v>5</v>
      </c>
      <c r="V96">
        <v>12</v>
      </c>
      <c r="W96" t="s">
        <v>23</v>
      </c>
    </row>
    <row r="97" spans="1:23" x14ac:dyDescent="0.2">
      <c r="A97">
        <v>94</v>
      </c>
      <c r="S97" s="3" t="s">
        <v>3</v>
      </c>
      <c r="T97" s="3" t="s">
        <v>7</v>
      </c>
      <c r="U97" s="3" t="s">
        <v>6</v>
      </c>
      <c r="V97">
        <v>12</v>
      </c>
      <c r="W97" t="s">
        <v>23</v>
      </c>
    </row>
    <row r="98" spans="1:23" x14ac:dyDescent="0.2">
      <c r="A98">
        <v>95</v>
      </c>
      <c r="S98" s="3" t="s">
        <v>3</v>
      </c>
      <c r="T98" s="3" t="s">
        <v>7</v>
      </c>
      <c r="U98" s="3" t="s">
        <v>5</v>
      </c>
      <c r="V98">
        <v>15</v>
      </c>
      <c r="W98" t="s">
        <v>23</v>
      </c>
    </row>
    <row r="99" spans="1:23" x14ac:dyDescent="0.2">
      <c r="A99">
        <v>96</v>
      </c>
      <c r="S99" s="3" t="s">
        <v>3</v>
      </c>
      <c r="T99" s="3" t="s">
        <v>7</v>
      </c>
      <c r="U99" s="3" t="s">
        <v>6</v>
      </c>
      <c r="V99">
        <v>15</v>
      </c>
      <c r="W99" t="s">
        <v>23</v>
      </c>
    </row>
    <row r="100" spans="1:23" x14ac:dyDescent="0.2">
      <c r="A100">
        <v>97</v>
      </c>
      <c r="S100" t="s">
        <v>8</v>
      </c>
      <c r="T100" t="s">
        <v>7</v>
      </c>
      <c r="U100" t="s">
        <v>5</v>
      </c>
      <c r="V100">
        <v>1</v>
      </c>
      <c r="W100" t="s">
        <v>22</v>
      </c>
    </row>
    <row r="101" spans="1:23" x14ac:dyDescent="0.2">
      <c r="A101">
        <v>98</v>
      </c>
      <c r="S101" t="s">
        <v>8</v>
      </c>
      <c r="T101" t="s">
        <v>7</v>
      </c>
      <c r="U101" t="s">
        <v>6</v>
      </c>
      <c r="V101">
        <v>1</v>
      </c>
      <c r="W101" t="s">
        <v>22</v>
      </c>
    </row>
    <row r="102" spans="1:23" x14ac:dyDescent="0.2">
      <c r="A102">
        <v>99</v>
      </c>
      <c r="S102" s="3" t="s">
        <v>8</v>
      </c>
      <c r="T102" s="3" t="s">
        <v>7</v>
      </c>
      <c r="U102" s="3" t="s">
        <v>5</v>
      </c>
      <c r="V102">
        <v>2</v>
      </c>
      <c r="W102" t="s">
        <v>22</v>
      </c>
    </row>
    <row r="103" spans="1:23" x14ac:dyDescent="0.2">
      <c r="A103">
        <v>100</v>
      </c>
      <c r="S103" s="3" t="s">
        <v>8</v>
      </c>
      <c r="T103" s="3" t="s">
        <v>7</v>
      </c>
      <c r="U103" s="3" t="s">
        <v>6</v>
      </c>
      <c r="V103">
        <v>2</v>
      </c>
      <c r="W103" t="s">
        <v>22</v>
      </c>
    </row>
    <row r="104" spans="1:23" x14ac:dyDescent="0.2">
      <c r="A104">
        <v>101</v>
      </c>
      <c r="S104" s="3" t="s">
        <v>8</v>
      </c>
      <c r="T104" s="3" t="s">
        <v>7</v>
      </c>
      <c r="U104" s="3" t="s">
        <v>5</v>
      </c>
      <c r="V104">
        <v>3</v>
      </c>
      <c r="W104" t="s">
        <v>22</v>
      </c>
    </row>
    <row r="105" spans="1:23" x14ac:dyDescent="0.2">
      <c r="A105">
        <v>102</v>
      </c>
      <c r="S105" s="3" t="s">
        <v>8</v>
      </c>
      <c r="T105" s="3" t="s">
        <v>7</v>
      </c>
      <c r="U105" s="3" t="s">
        <v>6</v>
      </c>
      <c r="V105">
        <v>3</v>
      </c>
      <c r="W105" t="s">
        <v>22</v>
      </c>
    </row>
    <row r="106" spans="1:23" x14ac:dyDescent="0.2">
      <c r="A106">
        <v>103</v>
      </c>
      <c r="S106" s="3" t="s">
        <v>8</v>
      </c>
      <c r="T106" s="3" t="s">
        <v>7</v>
      </c>
      <c r="U106" s="3" t="s">
        <v>5</v>
      </c>
      <c r="V106">
        <v>8</v>
      </c>
      <c r="W106" t="s">
        <v>22</v>
      </c>
    </row>
    <row r="107" spans="1:23" x14ac:dyDescent="0.2">
      <c r="A107">
        <v>104</v>
      </c>
      <c r="S107" s="3" t="s">
        <v>8</v>
      </c>
      <c r="T107" s="3" t="s">
        <v>7</v>
      </c>
      <c r="U107" s="3" t="s">
        <v>6</v>
      </c>
      <c r="V107">
        <v>8</v>
      </c>
      <c r="W107" t="s">
        <v>22</v>
      </c>
    </row>
    <row r="108" spans="1:23" x14ac:dyDescent="0.2">
      <c r="A108">
        <v>105</v>
      </c>
      <c r="S108" s="3" t="s">
        <v>8</v>
      </c>
      <c r="T108" s="3" t="s">
        <v>7</v>
      </c>
      <c r="U108" s="3" t="s">
        <v>5</v>
      </c>
      <c r="V108">
        <v>12</v>
      </c>
      <c r="W108" t="s">
        <v>22</v>
      </c>
    </row>
    <row r="109" spans="1:23" x14ac:dyDescent="0.2">
      <c r="A109">
        <v>106</v>
      </c>
      <c r="S109" s="3" t="s">
        <v>8</v>
      </c>
      <c r="T109" s="3" t="s">
        <v>7</v>
      </c>
      <c r="U109" s="3" t="s">
        <v>6</v>
      </c>
      <c r="V109">
        <v>12</v>
      </c>
      <c r="W109" t="s">
        <v>22</v>
      </c>
    </row>
    <row r="110" spans="1:23" x14ac:dyDescent="0.2">
      <c r="A110">
        <v>107</v>
      </c>
      <c r="S110" s="3" t="s">
        <v>8</v>
      </c>
      <c r="T110" s="3" t="s">
        <v>7</v>
      </c>
      <c r="U110" s="3" t="s">
        <v>5</v>
      </c>
      <c r="V110">
        <v>15</v>
      </c>
      <c r="W110" t="s">
        <v>22</v>
      </c>
    </row>
    <row r="111" spans="1:23" x14ac:dyDescent="0.2">
      <c r="A111">
        <v>108</v>
      </c>
      <c r="S111" s="3" t="s">
        <v>8</v>
      </c>
      <c r="T111" s="3" t="s">
        <v>7</v>
      </c>
      <c r="U111" s="3" t="s">
        <v>6</v>
      </c>
      <c r="V111">
        <v>15</v>
      </c>
      <c r="W111" t="s">
        <v>22</v>
      </c>
    </row>
    <row r="112" spans="1:23" x14ac:dyDescent="0.2">
      <c r="A112">
        <v>109</v>
      </c>
      <c r="S112" t="s">
        <v>8</v>
      </c>
      <c r="T112" t="s">
        <v>7</v>
      </c>
      <c r="U112" t="s">
        <v>5</v>
      </c>
      <c r="V112">
        <v>1</v>
      </c>
      <c r="W112" t="s">
        <v>23</v>
      </c>
    </row>
    <row r="113" spans="1:23" x14ac:dyDescent="0.2">
      <c r="A113">
        <v>110</v>
      </c>
      <c r="S113" t="s">
        <v>8</v>
      </c>
      <c r="T113" t="s">
        <v>7</v>
      </c>
      <c r="U113" t="s">
        <v>6</v>
      </c>
      <c r="V113">
        <v>1</v>
      </c>
      <c r="W113" t="s">
        <v>23</v>
      </c>
    </row>
    <row r="114" spans="1:23" x14ac:dyDescent="0.2">
      <c r="A114">
        <v>111</v>
      </c>
      <c r="S114" s="3" t="s">
        <v>8</v>
      </c>
      <c r="T114" s="3" t="s">
        <v>7</v>
      </c>
      <c r="U114" s="3" t="s">
        <v>5</v>
      </c>
      <c r="V114">
        <v>2</v>
      </c>
      <c r="W114" t="s">
        <v>23</v>
      </c>
    </row>
    <row r="115" spans="1:23" x14ac:dyDescent="0.2">
      <c r="A115">
        <v>112</v>
      </c>
      <c r="S115" s="3" t="s">
        <v>8</v>
      </c>
      <c r="T115" s="3" t="s">
        <v>7</v>
      </c>
      <c r="U115" s="3" t="s">
        <v>6</v>
      </c>
      <c r="V115">
        <v>2</v>
      </c>
      <c r="W115" t="s">
        <v>23</v>
      </c>
    </row>
    <row r="116" spans="1:23" x14ac:dyDescent="0.2">
      <c r="A116">
        <v>113</v>
      </c>
      <c r="S116" s="3" t="s">
        <v>8</v>
      </c>
      <c r="T116" s="3" t="s">
        <v>7</v>
      </c>
      <c r="U116" s="3" t="s">
        <v>5</v>
      </c>
      <c r="V116">
        <v>3</v>
      </c>
      <c r="W116" t="s">
        <v>23</v>
      </c>
    </row>
    <row r="117" spans="1:23" x14ac:dyDescent="0.2">
      <c r="A117">
        <v>114</v>
      </c>
      <c r="S117" s="3" t="s">
        <v>8</v>
      </c>
      <c r="T117" s="3" t="s">
        <v>7</v>
      </c>
      <c r="U117" s="3" t="s">
        <v>6</v>
      </c>
      <c r="V117">
        <v>3</v>
      </c>
      <c r="W117" t="s">
        <v>23</v>
      </c>
    </row>
    <row r="118" spans="1:23" x14ac:dyDescent="0.2">
      <c r="A118">
        <v>115</v>
      </c>
      <c r="S118" s="3" t="s">
        <v>8</v>
      </c>
      <c r="T118" s="3" t="s">
        <v>7</v>
      </c>
      <c r="U118" s="3" t="s">
        <v>5</v>
      </c>
      <c r="V118">
        <v>8</v>
      </c>
      <c r="W118" t="s">
        <v>23</v>
      </c>
    </row>
    <row r="119" spans="1:23" x14ac:dyDescent="0.2">
      <c r="A119">
        <v>116</v>
      </c>
      <c r="S119" s="3" t="s">
        <v>8</v>
      </c>
      <c r="T119" s="3" t="s">
        <v>7</v>
      </c>
      <c r="U119" s="3" t="s">
        <v>6</v>
      </c>
      <c r="V119">
        <v>8</v>
      </c>
      <c r="W119" t="s">
        <v>23</v>
      </c>
    </row>
    <row r="120" spans="1:23" x14ac:dyDescent="0.2">
      <c r="A120">
        <v>117</v>
      </c>
      <c r="S120" s="3" t="s">
        <v>8</v>
      </c>
      <c r="T120" s="3" t="s">
        <v>7</v>
      </c>
      <c r="U120" s="3" t="s">
        <v>5</v>
      </c>
      <c r="V120">
        <v>12</v>
      </c>
      <c r="W120" t="s">
        <v>23</v>
      </c>
    </row>
    <row r="121" spans="1:23" x14ac:dyDescent="0.2">
      <c r="A121">
        <v>118</v>
      </c>
      <c r="S121" s="3" t="s">
        <v>8</v>
      </c>
      <c r="T121" s="3" t="s">
        <v>7</v>
      </c>
      <c r="U121" s="3" t="s">
        <v>6</v>
      </c>
      <c r="V121">
        <v>12</v>
      </c>
      <c r="W121" t="s">
        <v>23</v>
      </c>
    </row>
    <row r="122" spans="1:23" x14ac:dyDescent="0.2">
      <c r="A122">
        <v>119</v>
      </c>
      <c r="S122" s="3" t="s">
        <v>8</v>
      </c>
      <c r="T122" s="3" t="s">
        <v>7</v>
      </c>
      <c r="U122" s="3" t="s">
        <v>5</v>
      </c>
      <c r="V122">
        <v>15</v>
      </c>
      <c r="W122" t="s">
        <v>23</v>
      </c>
    </row>
    <row r="123" spans="1:23" x14ac:dyDescent="0.2">
      <c r="A123">
        <v>120</v>
      </c>
      <c r="S123" s="3" t="s">
        <v>8</v>
      </c>
      <c r="T123" s="3" t="s">
        <v>7</v>
      </c>
      <c r="U123" s="3" t="s">
        <v>6</v>
      </c>
      <c r="V123">
        <v>15</v>
      </c>
      <c r="W123" t="s">
        <v>23</v>
      </c>
    </row>
    <row r="124" spans="1:23" x14ac:dyDescent="0.2">
      <c r="A124">
        <v>121</v>
      </c>
      <c r="S124" t="s">
        <v>9</v>
      </c>
      <c r="T124" t="s">
        <v>7</v>
      </c>
      <c r="U124" t="s">
        <v>5</v>
      </c>
      <c r="V124">
        <v>1</v>
      </c>
      <c r="W124" t="s">
        <v>22</v>
      </c>
    </row>
    <row r="125" spans="1:23" x14ac:dyDescent="0.2">
      <c r="A125">
        <v>122</v>
      </c>
      <c r="S125" t="s">
        <v>9</v>
      </c>
      <c r="T125" t="s">
        <v>7</v>
      </c>
      <c r="U125" t="s">
        <v>6</v>
      </c>
      <c r="V125">
        <v>1</v>
      </c>
      <c r="W125" t="s">
        <v>22</v>
      </c>
    </row>
    <row r="126" spans="1:23" x14ac:dyDescent="0.2">
      <c r="A126">
        <v>123</v>
      </c>
      <c r="S126" s="3" t="s">
        <v>9</v>
      </c>
      <c r="T126" s="3" t="s">
        <v>7</v>
      </c>
      <c r="U126" s="3" t="s">
        <v>5</v>
      </c>
      <c r="V126">
        <v>2</v>
      </c>
      <c r="W126" t="s">
        <v>22</v>
      </c>
    </row>
    <row r="127" spans="1:23" x14ac:dyDescent="0.2">
      <c r="A127">
        <v>124</v>
      </c>
      <c r="S127" s="3" t="s">
        <v>9</v>
      </c>
      <c r="T127" s="3" t="s">
        <v>7</v>
      </c>
      <c r="U127" s="3" t="s">
        <v>6</v>
      </c>
      <c r="V127">
        <v>2</v>
      </c>
      <c r="W127" t="s">
        <v>22</v>
      </c>
    </row>
    <row r="128" spans="1:23" x14ac:dyDescent="0.2">
      <c r="A128">
        <v>125</v>
      </c>
      <c r="S128" s="3" t="s">
        <v>9</v>
      </c>
      <c r="T128" s="3" t="s">
        <v>7</v>
      </c>
      <c r="U128" s="3" t="s">
        <v>5</v>
      </c>
      <c r="V128">
        <v>3</v>
      </c>
      <c r="W128" t="s">
        <v>22</v>
      </c>
    </row>
    <row r="129" spans="1:23" x14ac:dyDescent="0.2">
      <c r="A129">
        <v>126</v>
      </c>
      <c r="S129" s="3" t="s">
        <v>9</v>
      </c>
      <c r="T129" s="3" t="s">
        <v>7</v>
      </c>
      <c r="U129" s="3" t="s">
        <v>6</v>
      </c>
      <c r="V129">
        <v>3</v>
      </c>
      <c r="W129" t="s">
        <v>22</v>
      </c>
    </row>
    <row r="130" spans="1:23" x14ac:dyDescent="0.2">
      <c r="A130">
        <v>127</v>
      </c>
      <c r="S130" s="3" t="s">
        <v>9</v>
      </c>
      <c r="T130" s="3" t="s">
        <v>7</v>
      </c>
      <c r="U130" s="3" t="s">
        <v>5</v>
      </c>
      <c r="V130">
        <v>8</v>
      </c>
      <c r="W130" t="s">
        <v>22</v>
      </c>
    </row>
    <row r="131" spans="1:23" x14ac:dyDescent="0.2">
      <c r="A131">
        <v>128</v>
      </c>
      <c r="S131" s="3" t="s">
        <v>9</v>
      </c>
      <c r="T131" s="3" t="s">
        <v>7</v>
      </c>
      <c r="U131" s="3" t="s">
        <v>6</v>
      </c>
      <c r="V131">
        <v>8</v>
      </c>
      <c r="W131" t="s">
        <v>22</v>
      </c>
    </row>
    <row r="132" spans="1:23" x14ac:dyDescent="0.2">
      <c r="A132">
        <v>129</v>
      </c>
      <c r="S132" s="3" t="s">
        <v>9</v>
      </c>
      <c r="T132" s="3" t="s">
        <v>7</v>
      </c>
      <c r="U132" s="3" t="s">
        <v>5</v>
      </c>
      <c r="V132">
        <v>12</v>
      </c>
      <c r="W132" t="s">
        <v>22</v>
      </c>
    </row>
    <row r="133" spans="1:23" x14ac:dyDescent="0.2">
      <c r="A133">
        <v>130</v>
      </c>
      <c r="S133" s="3" t="s">
        <v>9</v>
      </c>
      <c r="T133" s="3" t="s">
        <v>7</v>
      </c>
      <c r="U133" s="3" t="s">
        <v>6</v>
      </c>
      <c r="V133">
        <v>12</v>
      </c>
      <c r="W133" t="s">
        <v>22</v>
      </c>
    </row>
    <row r="134" spans="1:23" x14ac:dyDescent="0.2">
      <c r="A134">
        <v>131</v>
      </c>
      <c r="S134" s="3" t="s">
        <v>9</v>
      </c>
      <c r="T134" s="3" t="s">
        <v>7</v>
      </c>
      <c r="U134" s="3" t="s">
        <v>5</v>
      </c>
      <c r="V134">
        <v>15</v>
      </c>
      <c r="W134" t="s">
        <v>22</v>
      </c>
    </row>
    <row r="135" spans="1:23" x14ac:dyDescent="0.2">
      <c r="A135">
        <v>132</v>
      </c>
      <c r="S135" s="3" t="s">
        <v>9</v>
      </c>
      <c r="T135" s="3" t="s">
        <v>7</v>
      </c>
      <c r="U135" s="3" t="s">
        <v>6</v>
      </c>
      <c r="V135">
        <v>15</v>
      </c>
      <c r="W135" t="s">
        <v>22</v>
      </c>
    </row>
    <row r="136" spans="1:23" x14ac:dyDescent="0.2">
      <c r="A136">
        <v>133</v>
      </c>
      <c r="S136" t="s">
        <v>9</v>
      </c>
      <c r="T136" t="s">
        <v>7</v>
      </c>
      <c r="U136" t="s">
        <v>5</v>
      </c>
      <c r="V136">
        <v>1</v>
      </c>
      <c r="W136" t="s">
        <v>23</v>
      </c>
    </row>
    <row r="137" spans="1:23" x14ac:dyDescent="0.2">
      <c r="A137">
        <v>134</v>
      </c>
      <c r="S137" t="s">
        <v>9</v>
      </c>
      <c r="T137" t="s">
        <v>7</v>
      </c>
      <c r="U137" t="s">
        <v>6</v>
      </c>
      <c r="V137">
        <v>1</v>
      </c>
      <c r="W137" t="s">
        <v>23</v>
      </c>
    </row>
    <row r="138" spans="1:23" x14ac:dyDescent="0.2">
      <c r="A138">
        <v>135</v>
      </c>
      <c r="S138" s="3" t="s">
        <v>9</v>
      </c>
      <c r="T138" s="3" t="s">
        <v>7</v>
      </c>
      <c r="U138" s="3" t="s">
        <v>5</v>
      </c>
      <c r="V138">
        <v>2</v>
      </c>
      <c r="W138" t="s">
        <v>23</v>
      </c>
    </row>
    <row r="139" spans="1:23" x14ac:dyDescent="0.2">
      <c r="A139">
        <v>136</v>
      </c>
      <c r="S139" s="3" t="s">
        <v>9</v>
      </c>
      <c r="T139" s="3" t="s">
        <v>7</v>
      </c>
      <c r="U139" s="3" t="s">
        <v>6</v>
      </c>
      <c r="V139">
        <v>2</v>
      </c>
      <c r="W139" t="s">
        <v>23</v>
      </c>
    </row>
    <row r="140" spans="1:23" x14ac:dyDescent="0.2">
      <c r="A140">
        <v>137</v>
      </c>
      <c r="S140" s="3" t="s">
        <v>9</v>
      </c>
      <c r="T140" s="3" t="s">
        <v>7</v>
      </c>
      <c r="U140" s="3" t="s">
        <v>5</v>
      </c>
      <c r="V140">
        <v>3</v>
      </c>
      <c r="W140" t="s">
        <v>23</v>
      </c>
    </row>
    <row r="141" spans="1:23" x14ac:dyDescent="0.2">
      <c r="A141">
        <v>138</v>
      </c>
      <c r="S141" s="3" t="s">
        <v>9</v>
      </c>
      <c r="T141" s="3" t="s">
        <v>7</v>
      </c>
      <c r="U141" s="3" t="s">
        <v>6</v>
      </c>
      <c r="V141">
        <v>3</v>
      </c>
      <c r="W141" t="s">
        <v>23</v>
      </c>
    </row>
    <row r="142" spans="1:23" x14ac:dyDescent="0.2">
      <c r="A142">
        <v>139</v>
      </c>
      <c r="S142" s="3" t="s">
        <v>9</v>
      </c>
      <c r="T142" s="3" t="s">
        <v>7</v>
      </c>
      <c r="U142" s="3" t="s">
        <v>5</v>
      </c>
      <c r="V142">
        <v>8</v>
      </c>
      <c r="W142" t="s">
        <v>23</v>
      </c>
    </row>
    <row r="143" spans="1:23" x14ac:dyDescent="0.2">
      <c r="A143">
        <v>140</v>
      </c>
      <c r="S143" s="3" t="s">
        <v>9</v>
      </c>
      <c r="T143" s="3" t="s">
        <v>7</v>
      </c>
      <c r="U143" s="3" t="s">
        <v>6</v>
      </c>
      <c r="V143">
        <v>8</v>
      </c>
      <c r="W143" t="s">
        <v>23</v>
      </c>
    </row>
    <row r="144" spans="1:23" x14ac:dyDescent="0.2">
      <c r="A144">
        <v>141</v>
      </c>
      <c r="S144" s="3" t="s">
        <v>9</v>
      </c>
      <c r="T144" s="3" t="s">
        <v>7</v>
      </c>
      <c r="U144" s="3" t="s">
        <v>5</v>
      </c>
      <c r="V144">
        <v>12</v>
      </c>
      <c r="W144" t="s">
        <v>23</v>
      </c>
    </row>
    <row r="145" spans="1:23" x14ac:dyDescent="0.2">
      <c r="A145">
        <v>142</v>
      </c>
      <c r="S145" s="3" t="s">
        <v>9</v>
      </c>
      <c r="T145" s="3" t="s">
        <v>7</v>
      </c>
      <c r="U145" s="3" t="s">
        <v>6</v>
      </c>
      <c r="V145">
        <v>12</v>
      </c>
      <c r="W145" t="s">
        <v>23</v>
      </c>
    </row>
    <row r="146" spans="1:23" x14ac:dyDescent="0.2">
      <c r="A146">
        <v>143</v>
      </c>
      <c r="S146" s="3" t="s">
        <v>9</v>
      </c>
      <c r="T146" s="3" t="s">
        <v>7</v>
      </c>
      <c r="U146" s="3" t="s">
        <v>5</v>
      </c>
      <c r="V146">
        <v>15</v>
      </c>
      <c r="W146" t="s">
        <v>23</v>
      </c>
    </row>
    <row r="147" spans="1:23" x14ac:dyDescent="0.2">
      <c r="A147">
        <v>144</v>
      </c>
      <c r="S147" s="3" t="s">
        <v>9</v>
      </c>
      <c r="T147" s="3" t="s">
        <v>7</v>
      </c>
      <c r="U147" s="3" t="s">
        <v>6</v>
      </c>
      <c r="V147">
        <v>15</v>
      </c>
      <c r="W147" t="s">
        <v>23</v>
      </c>
    </row>
  </sheetData>
  <mergeCells count="9">
    <mergeCell ref="B2:F2"/>
    <mergeCell ref="B1:F1"/>
    <mergeCell ref="M2:Q2"/>
    <mergeCell ref="M1:Q1"/>
    <mergeCell ref="Y1:AB1"/>
    <mergeCell ref="S2:W2"/>
    <mergeCell ref="S1:W1"/>
    <mergeCell ref="H2:K2"/>
    <mergeCell ref="H1:K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D910-E9C3-614E-92C1-1168BF2D64D2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Caro, Tristan A.</cp:lastModifiedBy>
  <dcterms:created xsi:type="dcterms:W3CDTF">2025-01-15T20:49:00Z</dcterms:created>
  <dcterms:modified xsi:type="dcterms:W3CDTF">2025-02-26T21:38:32Z</dcterms:modified>
</cp:coreProperties>
</file>